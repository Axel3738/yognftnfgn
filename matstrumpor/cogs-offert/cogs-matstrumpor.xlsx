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shi" sheetId="2" state="visible" r:id="rId2"/>
    <sheet name="Donut" sheetId="3" state="visible" r:id="rId3"/>
    <sheet name="Pizza" sheetId="4" state="visible" r:id="rId4"/>
    <sheet name="Hamburger" sheetId="5" state="visible" r:id="rId5"/>
  </sheets>
  <definedNames>
    <definedName name="_xlnm.Print_Titles" localSheetId="1">'Sushi'!$4:$4</definedName>
    <definedName name="_xlnm.Print_Titles" localSheetId="2">'Donut'!$4:$4</definedName>
    <definedName name="_xlnm.Print_Titles" localSheetId="3">'Pizza'!$4:$4</definedName>
    <definedName name="_xlnm.Print_Titles" localSheetId="4">'Hamburger'!$4:$4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;-0.0;&quot;–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6B7280"/>
      <sz val="10"/>
    </font>
    <font>
      <name val="Arial"/>
      <b val="1"/>
      <color rgb="004B5563"/>
      <sz val="11"/>
    </font>
    <font>
      <name val="Arial"/>
      <b val="1"/>
      <color rgb="00111827"/>
      <sz val="13"/>
    </font>
    <font>
      <name val="Arial"/>
      <sz val="11"/>
    </font>
    <font>
      <name val="Arial"/>
      <color rgb="000000FF"/>
      <sz val="11"/>
    </font>
    <font>
      <name val="Arial"/>
      <b val="1"/>
      <color rgb="000000FF"/>
      <sz val="12"/>
    </font>
    <font>
      <name val="Arial"/>
      <color rgb="009CA3AF"/>
      <sz val="9"/>
    </font>
    <font>
      <name val="Arial"/>
      <b val="1"/>
      <color rgb="00374151"/>
      <sz val="10"/>
    </font>
    <font>
      <name val="Arial"/>
      <color rgb="006B7280"/>
      <sz val="11"/>
    </font>
    <font>
      <name val="Arial"/>
      <b val="1"/>
      <sz val="12"/>
    </font>
    <font>
      <name val="Arial"/>
      <b val="1"/>
      <sz val="13"/>
    </font>
    <font>
      <name val="Arial"/>
      <b val="1"/>
      <color rgb="00FFFFFF"/>
      <sz val="12"/>
    </font>
    <font>
      <name val="Arial"/>
      <color rgb="00374151"/>
      <sz val="10"/>
    </font>
  </fonts>
  <fills count="1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2CC"/>
      </patternFill>
    </fill>
    <fill>
      <patternFill patternType="solid">
        <fgColor rgb="008ED8F8"/>
      </patternFill>
    </fill>
    <fill>
      <patternFill patternType="solid">
        <fgColor rgb="00FFF7DB"/>
      </patternFill>
    </fill>
    <fill>
      <patternFill patternType="solid">
        <fgColor rgb="00EAF7FD"/>
      </patternFill>
    </fill>
    <fill>
      <patternFill patternType="solid">
        <fgColor rgb="00FAFAFA"/>
      </patternFill>
    </fill>
    <fill>
      <patternFill patternType="solid">
        <fgColor rgb="00F97316"/>
      </patternFill>
    </fill>
    <fill>
      <patternFill patternType="solid">
        <fgColor rgb="00EC4899"/>
      </patternFill>
    </fill>
    <fill>
      <patternFill patternType="solid">
        <fgColor rgb="00EF4444"/>
      </patternFill>
    </fill>
    <fill>
      <patternFill patternType="solid">
        <fgColor rgb="00A16207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9CA3AF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13" fillId="2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0" fontId="5" fillId="0" borderId="2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5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center" wrapText="1"/>
    </xf>
    <xf numFmtId="164" fontId="6" fillId="7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name val="Arial"/>
        <color rgb="00C0C0C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COGS</author>
  </authors>
  <commentList>
    <comment ref="G6" authorId="0" shapeId="0">
      <text>
        <t>Supplier price as quoted. Cost + shipping = 11.2 (supplier rounding).</t>
      </text>
    </comment>
    <comment ref="G11" authorId="0" shapeId="0">
      <text>
        <t>Supplier price as quoted. Cost + shipping = 8.8 (supplier rounding).</t>
      </text>
    </comment>
    <comment ref="G12" authorId="0" shapeId="0">
      <text>
        <t>Supplier price as quoted. Cost + shipping = 14.6 (supplier rounding).</t>
      </text>
    </comment>
    <comment ref="G14" authorId="0" shapeId="0">
      <text>
        <t>Supplier price as quoted. Cost + shipping = 15.0 (supplier rounding).</t>
      </text>
    </comment>
    <comment ref="G16" authorId="0" shapeId="0">
      <text>
        <t>Supplier price as quoted. Cost + shipping = 12.7 (supplier rounding).</t>
      </text>
    </comment>
    <comment ref="G18" authorId="0" shapeId="0">
      <text>
        <t>Supplier price as quoted. Cost + shipping = 14.0 (supplier rounding).</t>
      </text>
    </comment>
    <comment ref="G20" authorId="0" shapeId="0">
      <text>
        <t>Supplier price as quoted. Cost + shipping = 14.1 (supplier rounding).</t>
      </text>
    </comment>
    <comment ref="G22" authorId="0" shapeId="0">
      <text>
        <t>Supplier price as quoted. Cost + shipping = 14.6 (supplier rounding).</t>
      </text>
    </comment>
  </commentList>
</comments>
</file>

<file path=xl/comments/comment2.xml><?xml version="1.0" encoding="utf-8"?>
<comments xmlns="http://schemas.openxmlformats.org/spreadsheetml/2006/main">
  <authors>
    <author>COGS</author>
  </authors>
  <commentList>
    <comment ref="G5" authorId="0" shapeId="0">
      <text>
        <t>Supplier price as quoted. Cost + shipping = 7.7 (supplier rounding).</t>
      </text>
    </comment>
    <comment ref="G9" authorId="0" shapeId="0">
      <text>
        <t>Supplier price as quoted. Cost + shipping = 7.1 (supplier rounding).</t>
      </text>
    </comment>
    <comment ref="G13" authorId="0" shapeId="0">
      <text>
        <t>Supplier price as quoted. Cost + shipping = 9.3 (supplier rounding).</t>
      </text>
    </comment>
    <comment ref="G21" authorId="0" shapeId="0">
      <text>
        <t>Supplier price as quoted. Cost + shipping = 9.6 (supplier rounding).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809750" cy="1771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809750" cy="180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809750" cy="1781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1809750" cy="1343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 fitToPage="1"/>
  </sheetPr>
  <dimension ref="B1:L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MATSTRUMPOR — COGS OVERVIEW (USD per order)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B2" s="3" t="inlineStr">
        <is>
          <t>Supplier price per country and pack, read 2026-09-29. Pulled automatically from the product tabs. "–" = no quote yet.</t>
        </is>
      </c>
    </row>
    <row r="4" ht="28" customHeight="1">
      <c r="B4" s="4" t="inlineStr">
        <is>
          <t>Country</t>
        </is>
      </c>
      <c r="C4" s="5" t="inlineStr">
        <is>
          <t>SUSHI</t>
        </is>
      </c>
      <c r="G4" s="6" t="inlineStr">
        <is>
          <t>DONUT</t>
        </is>
      </c>
      <c r="I4" s="7" t="inlineStr">
        <is>
          <t>PIZZA</t>
        </is>
      </c>
      <c r="K4" s="8" t="inlineStr">
        <is>
          <t>HAMBURGER</t>
        </is>
      </c>
    </row>
    <row r="5" ht="34" customHeight="1">
      <c r="B5" s="9" t="n"/>
      <c r="C5" s="10" t="inlineStr">
        <is>
          <t>1 set (3 pairs)</t>
        </is>
      </c>
      <c r="D5" s="10" t="inlineStr">
        <is>
          <t>2 sets (3 pairs)</t>
        </is>
      </c>
      <c r="E5" s="10" t="inlineStr">
        <is>
          <t>1 set (5 pairs)</t>
        </is>
      </c>
      <c r="F5" s="10" t="inlineStr">
        <is>
          <t>2 sets (5 pairs)</t>
        </is>
      </c>
      <c r="G5" s="10" t="inlineStr">
        <is>
          <t>1 set (3 pairs)</t>
        </is>
      </c>
      <c r="H5" s="10" t="inlineStr">
        <is>
          <t>2 sets</t>
        </is>
      </c>
      <c r="I5" s="10" t="inlineStr">
        <is>
          <t>1 set (4 pairs)</t>
        </is>
      </c>
      <c r="J5" s="10" t="inlineStr">
        <is>
          <t>2 sets</t>
        </is>
      </c>
      <c r="K5" s="10" t="inlineStr">
        <is>
          <t>1 set (3 pairs)</t>
        </is>
      </c>
      <c r="L5" s="10" t="inlineStr">
        <is>
          <t>2 sets</t>
        </is>
      </c>
    </row>
    <row r="6" ht="22" customHeight="1">
      <c r="B6" s="11" t="inlineStr">
        <is>
          <t>Sweden</t>
        </is>
      </c>
      <c r="C6" s="12">
        <f>IF($B6="","",IF(COUNTIFS('Sushi'!$H$5:$H$102,$B6,'Sushi'!$D$5:$D$102,C$5,'Sushi'!$G$5:$G$102,"&gt;0")=0,"–",SUMIFS('Sushi'!$G$5:$G$102,'Sushi'!$H$5:$H$102,$B6,'Sushi'!$D$5:$D$102,C$5)))</f>
        <v/>
      </c>
      <c r="D6" s="12">
        <f>IF($B6="","",IF(COUNTIFS('Sushi'!$H$5:$H$102,$B6,'Sushi'!$D$5:$D$102,D$5,'Sushi'!$G$5:$G$102,"&gt;0")=0,"–",SUMIFS('Sushi'!$G$5:$G$102,'Sushi'!$H$5:$H$102,$B6,'Sushi'!$D$5:$D$102,D$5)))</f>
        <v/>
      </c>
      <c r="E6" s="12">
        <f>IF($B6="","",IF(COUNTIFS('Sushi'!$H$5:$H$102,$B6,'Sushi'!$D$5:$D$102,E$5,'Sushi'!$G$5:$G$102,"&gt;0")=0,"–",SUMIFS('Sushi'!$G$5:$G$102,'Sushi'!$H$5:$H$102,$B6,'Sushi'!$D$5:$D$102,E$5)))</f>
        <v/>
      </c>
      <c r="F6" s="12">
        <f>IF($B6="","",IF(COUNTIFS('Sushi'!$H$5:$H$102,$B6,'Sushi'!$D$5:$D$102,F$5,'Sushi'!$G$5:$G$102,"&gt;0")=0,"–",SUMIFS('Sushi'!$G$5:$G$102,'Sushi'!$H$5:$H$102,$B6,'Sushi'!$D$5:$D$102,F$5)))</f>
        <v/>
      </c>
      <c r="G6" s="12">
        <f>IF($B6="","",IF(COUNTIFS('Donut'!$H$5:$H$64,$B6,'Donut'!$D$5:$D$64,G$5,'Donut'!$G$5:$G$64,"&gt;0")=0,"–",SUMIFS('Donut'!$G$5:$G$64,'Donut'!$H$5:$H$64,$B6,'Donut'!$D$5:$D$64,G$5)))</f>
        <v/>
      </c>
      <c r="H6" s="12">
        <f>IF($B6="","",IF(COUNTIFS('Donut'!$H$5:$H$64,$B6,'Donut'!$D$5:$D$64,H$5,'Donut'!$G$5:$G$64,"&gt;0")=0,"–",SUMIFS('Donut'!$G$5:$G$64,'Donut'!$H$5:$H$64,$B6,'Donut'!$D$5:$D$64,H$5)))</f>
        <v/>
      </c>
      <c r="I6" s="12">
        <f>IF($B6="","",IF(COUNTIFS('Pizza'!$H$5:$H$64,$B6,'Pizza'!$D$5:$D$64,I$5,'Pizza'!$G$5:$G$64,"&gt;0")=0,"–",SUMIFS('Pizza'!$G$5:$G$64,'Pizza'!$H$5:$H$64,$B6,'Pizza'!$D$5:$D$64,I$5)))</f>
        <v/>
      </c>
      <c r="J6" s="12">
        <f>IF($B6="","",IF(COUNTIFS('Pizza'!$H$5:$H$64,$B6,'Pizza'!$D$5:$D$64,J$5,'Pizza'!$G$5:$G$64,"&gt;0")=0,"–",SUMIFS('Pizza'!$G$5:$G$64,'Pizza'!$H$5:$H$64,$B6,'Pizza'!$D$5:$D$64,J$5)))</f>
        <v/>
      </c>
      <c r="K6" s="12">
        <f>IF($B6="","",IF(COUNTIFS('Hamburger'!$H$5:$H$64,$B6,'Hamburger'!$D$5:$D$64,K$5,'Hamburger'!$G$5:$G$64,"&gt;0")=0,"–",SUMIFS('Hamburger'!$G$5:$G$64,'Hamburger'!$H$5:$H$64,$B6,'Hamburger'!$D$5:$D$64,K$5)))</f>
        <v/>
      </c>
      <c r="L6" s="12">
        <f>IF($B6="","",IF(COUNTIFS('Hamburger'!$H$5:$H$64,$B6,'Hamburger'!$D$5:$D$64,L$5,'Hamburger'!$G$5:$G$64,"&gt;0")=0,"–",SUMIFS('Hamburger'!$G$5:$G$64,'Hamburger'!$H$5:$H$64,$B6,'Hamburger'!$D$5:$D$64,L$5)))</f>
        <v/>
      </c>
    </row>
    <row r="7" ht="22" customHeight="1">
      <c r="B7" s="11" t="inlineStr">
        <is>
          <t>Norway</t>
        </is>
      </c>
      <c r="C7" s="13">
        <f>IF($B7="","",IF(COUNTIFS('Sushi'!$H$5:$H$102,$B7,'Sushi'!$D$5:$D$102,C$5,'Sushi'!$G$5:$G$102,"&gt;0")=0,"–",SUMIFS('Sushi'!$G$5:$G$102,'Sushi'!$H$5:$H$102,$B7,'Sushi'!$D$5:$D$102,C$5)))</f>
        <v/>
      </c>
      <c r="D7" s="13">
        <f>IF($B7="","",IF(COUNTIFS('Sushi'!$H$5:$H$102,$B7,'Sushi'!$D$5:$D$102,D$5,'Sushi'!$G$5:$G$102,"&gt;0")=0,"–",SUMIFS('Sushi'!$G$5:$G$102,'Sushi'!$H$5:$H$102,$B7,'Sushi'!$D$5:$D$102,D$5)))</f>
        <v/>
      </c>
      <c r="E7" s="13">
        <f>IF($B7="","",IF(COUNTIFS('Sushi'!$H$5:$H$102,$B7,'Sushi'!$D$5:$D$102,E$5,'Sushi'!$G$5:$G$102,"&gt;0")=0,"–",SUMIFS('Sushi'!$G$5:$G$102,'Sushi'!$H$5:$H$102,$B7,'Sushi'!$D$5:$D$102,E$5)))</f>
        <v/>
      </c>
      <c r="F7" s="13">
        <f>IF($B7="","",IF(COUNTIFS('Sushi'!$H$5:$H$102,$B7,'Sushi'!$D$5:$D$102,F$5,'Sushi'!$G$5:$G$102,"&gt;0")=0,"–",SUMIFS('Sushi'!$G$5:$G$102,'Sushi'!$H$5:$H$102,$B7,'Sushi'!$D$5:$D$102,F$5)))</f>
        <v/>
      </c>
      <c r="G7" s="13">
        <f>IF($B7="","",IF(COUNTIFS('Donut'!$H$5:$H$64,$B7,'Donut'!$D$5:$D$64,G$5,'Donut'!$G$5:$G$64,"&gt;0")=0,"–",SUMIFS('Donut'!$G$5:$G$64,'Donut'!$H$5:$H$64,$B7,'Donut'!$D$5:$D$64,G$5)))</f>
        <v/>
      </c>
      <c r="H7" s="13">
        <f>IF($B7="","",IF(COUNTIFS('Donut'!$H$5:$H$64,$B7,'Donut'!$D$5:$D$64,H$5,'Donut'!$G$5:$G$64,"&gt;0")=0,"–",SUMIFS('Donut'!$G$5:$G$64,'Donut'!$H$5:$H$64,$B7,'Donut'!$D$5:$D$64,H$5)))</f>
        <v/>
      </c>
      <c r="I7" s="13">
        <f>IF($B7="","",IF(COUNTIFS('Pizza'!$H$5:$H$64,$B7,'Pizza'!$D$5:$D$64,I$5,'Pizza'!$G$5:$G$64,"&gt;0")=0,"–",SUMIFS('Pizza'!$G$5:$G$64,'Pizza'!$H$5:$H$64,$B7,'Pizza'!$D$5:$D$64,I$5)))</f>
        <v/>
      </c>
      <c r="J7" s="13">
        <f>IF($B7="","",IF(COUNTIFS('Pizza'!$H$5:$H$64,$B7,'Pizza'!$D$5:$D$64,J$5,'Pizza'!$G$5:$G$64,"&gt;0")=0,"–",SUMIFS('Pizza'!$G$5:$G$64,'Pizza'!$H$5:$H$64,$B7,'Pizza'!$D$5:$D$64,J$5)))</f>
        <v/>
      </c>
      <c r="K7" s="13">
        <f>IF($B7="","",IF(COUNTIFS('Hamburger'!$H$5:$H$64,$B7,'Hamburger'!$D$5:$D$64,K$5,'Hamburger'!$G$5:$G$64,"&gt;0")=0,"–",SUMIFS('Hamburger'!$G$5:$G$64,'Hamburger'!$H$5:$H$64,$B7,'Hamburger'!$D$5:$D$64,K$5)))</f>
        <v/>
      </c>
      <c r="L7" s="13">
        <f>IF($B7="","",IF(COUNTIFS('Hamburger'!$H$5:$H$64,$B7,'Hamburger'!$D$5:$D$64,L$5,'Hamburger'!$G$5:$G$64,"&gt;0")=0,"–",SUMIFS('Hamburger'!$G$5:$G$64,'Hamburger'!$H$5:$H$64,$B7,'Hamburger'!$D$5:$D$64,L$5)))</f>
        <v/>
      </c>
    </row>
    <row r="8" ht="22" customHeight="1">
      <c r="B8" s="11" t="inlineStr">
        <is>
          <t>Denmark</t>
        </is>
      </c>
      <c r="C8" s="12">
        <f>IF($B8="","",IF(COUNTIFS('Sushi'!$H$5:$H$102,$B8,'Sushi'!$D$5:$D$102,C$5,'Sushi'!$G$5:$G$102,"&gt;0")=0,"–",SUMIFS('Sushi'!$G$5:$G$102,'Sushi'!$H$5:$H$102,$B8,'Sushi'!$D$5:$D$102,C$5)))</f>
        <v/>
      </c>
      <c r="D8" s="12">
        <f>IF($B8="","",IF(COUNTIFS('Sushi'!$H$5:$H$102,$B8,'Sushi'!$D$5:$D$102,D$5,'Sushi'!$G$5:$G$102,"&gt;0")=0,"–",SUMIFS('Sushi'!$G$5:$G$102,'Sushi'!$H$5:$H$102,$B8,'Sushi'!$D$5:$D$102,D$5)))</f>
        <v/>
      </c>
      <c r="E8" s="12">
        <f>IF($B8="","",IF(COUNTIFS('Sushi'!$H$5:$H$102,$B8,'Sushi'!$D$5:$D$102,E$5,'Sushi'!$G$5:$G$102,"&gt;0")=0,"–",SUMIFS('Sushi'!$G$5:$G$102,'Sushi'!$H$5:$H$102,$B8,'Sushi'!$D$5:$D$102,E$5)))</f>
        <v/>
      </c>
      <c r="F8" s="12">
        <f>IF($B8="","",IF(COUNTIFS('Sushi'!$H$5:$H$102,$B8,'Sushi'!$D$5:$D$102,F$5,'Sushi'!$G$5:$G$102,"&gt;0")=0,"–",SUMIFS('Sushi'!$G$5:$G$102,'Sushi'!$H$5:$H$102,$B8,'Sushi'!$D$5:$D$102,F$5)))</f>
        <v/>
      </c>
      <c r="G8" s="12">
        <f>IF($B8="","",IF(COUNTIFS('Donut'!$H$5:$H$64,$B8,'Donut'!$D$5:$D$64,G$5,'Donut'!$G$5:$G$64,"&gt;0")=0,"–",SUMIFS('Donut'!$G$5:$G$64,'Donut'!$H$5:$H$64,$B8,'Donut'!$D$5:$D$64,G$5)))</f>
        <v/>
      </c>
      <c r="H8" s="12">
        <f>IF($B8="","",IF(COUNTIFS('Donut'!$H$5:$H$64,$B8,'Donut'!$D$5:$D$64,H$5,'Donut'!$G$5:$G$64,"&gt;0")=0,"–",SUMIFS('Donut'!$G$5:$G$64,'Donut'!$H$5:$H$64,$B8,'Donut'!$D$5:$D$64,H$5)))</f>
        <v/>
      </c>
      <c r="I8" s="12">
        <f>IF($B8="","",IF(COUNTIFS('Pizza'!$H$5:$H$64,$B8,'Pizza'!$D$5:$D$64,I$5,'Pizza'!$G$5:$G$64,"&gt;0")=0,"–",SUMIFS('Pizza'!$G$5:$G$64,'Pizza'!$H$5:$H$64,$B8,'Pizza'!$D$5:$D$64,I$5)))</f>
        <v/>
      </c>
      <c r="J8" s="12">
        <f>IF($B8="","",IF(COUNTIFS('Pizza'!$H$5:$H$64,$B8,'Pizza'!$D$5:$D$64,J$5,'Pizza'!$G$5:$G$64,"&gt;0")=0,"–",SUMIFS('Pizza'!$G$5:$G$64,'Pizza'!$H$5:$H$64,$B8,'Pizza'!$D$5:$D$64,J$5)))</f>
        <v/>
      </c>
      <c r="K8" s="12">
        <f>IF($B8="","",IF(COUNTIFS('Hamburger'!$H$5:$H$64,$B8,'Hamburger'!$D$5:$D$64,K$5,'Hamburger'!$G$5:$G$64,"&gt;0")=0,"–",SUMIFS('Hamburger'!$G$5:$G$64,'Hamburger'!$H$5:$H$64,$B8,'Hamburger'!$D$5:$D$64,K$5)))</f>
        <v/>
      </c>
      <c r="L8" s="12">
        <f>IF($B8="","",IF(COUNTIFS('Hamburger'!$H$5:$H$64,$B8,'Hamburger'!$D$5:$D$64,L$5,'Hamburger'!$G$5:$G$64,"&gt;0")=0,"–",SUMIFS('Hamburger'!$G$5:$G$64,'Hamburger'!$H$5:$H$64,$B8,'Hamburger'!$D$5:$D$64,L$5)))</f>
        <v/>
      </c>
    </row>
    <row r="9" ht="22" customHeight="1">
      <c r="B9" s="11" t="inlineStr">
        <is>
          <t>Finland</t>
        </is>
      </c>
      <c r="C9" s="13">
        <f>IF($B9="","",IF(COUNTIFS('Sushi'!$H$5:$H$102,$B9,'Sushi'!$D$5:$D$102,C$5,'Sushi'!$G$5:$G$102,"&gt;0")=0,"–",SUMIFS('Sushi'!$G$5:$G$102,'Sushi'!$H$5:$H$102,$B9,'Sushi'!$D$5:$D$102,C$5)))</f>
        <v/>
      </c>
      <c r="D9" s="13">
        <f>IF($B9="","",IF(COUNTIFS('Sushi'!$H$5:$H$102,$B9,'Sushi'!$D$5:$D$102,D$5,'Sushi'!$G$5:$G$102,"&gt;0")=0,"–",SUMIFS('Sushi'!$G$5:$G$102,'Sushi'!$H$5:$H$102,$B9,'Sushi'!$D$5:$D$102,D$5)))</f>
        <v/>
      </c>
      <c r="E9" s="13">
        <f>IF($B9="","",IF(COUNTIFS('Sushi'!$H$5:$H$102,$B9,'Sushi'!$D$5:$D$102,E$5,'Sushi'!$G$5:$G$102,"&gt;0")=0,"–",SUMIFS('Sushi'!$G$5:$G$102,'Sushi'!$H$5:$H$102,$B9,'Sushi'!$D$5:$D$102,E$5)))</f>
        <v/>
      </c>
      <c r="F9" s="13">
        <f>IF($B9="","",IF(COUNTIFS('Sushi'!$H$5:$H$102,$B9,'Sushi'!$D$5:$D$102,F$5,'Sushi'!$G$5:$G$102,"&gt;0")=0,"–",SUMIFS('Sushi'!$G$5:$G$102,'Sushi'!$H$5:$H$102,$B9,'Sushi'!$D$5:$D$102,F$5)))</f>
        <v/>
      </c>
      <c r="G9" s="13">
        <f>IF($B9="","",IF(COUNTIFS('Donut'!$H$5:$H$64,$B9,'Donut'!$D$5:$D$64,G$5,'Donut'!$G$5:$G$64,"&gt;0")=0,"–",SUMIFS('Donut'!$G$5:$G$64,'Donut'!$H$5:$H$64,$B9,'Donut'!$D$5:$D$64,G$5)))</f>
        <v/>
      </c>
      <c r="H9" s="13">
        <f>IF($B9="","",IF(COUNTIFS('Donut'!$H$5:$H$64,$B9,'Donut'!$D$5:$D$64,H$5,'Donut'!$G$5:$G$64,"&gt;0")=0,"–",SUMIFS('Donut'!$G$5:$G$64,'Donut'!$H$5:$H$64,$B9,'Donut'!$D$5:$D$64,H$5)))</f>
        <v/>
      </c>
      <c r="I9" s="13">
        <f>IF($B9="","",IF(COUNTIFS('Pizza'!$H$5:$H$64,$B9,'Pizza'!$D$5:$D$64,I$5,'Pizza'!$G$5:$G$64,"&gt;0")=0,"–",SUMIFS('Pizza'!$G$5:$G$64,'Pizza'!$H$5:$H$64,$B9,'Pizza'!$D$5:$D$64,I$5)))</f>
        <v/>
      </c>
      <c r="J9" s="13">
        <f>IF($B9="","",IF(COUNTIFS('Pizza'!$H$5:$H$64,$B9,'Pizza'!$D$5:$D$64,J$5,'Pizza'!$G$5:$G$64,"&gt;0")=0,"–",SUMIFS('Pizza'!$G$5:$G$64,'Pizza'!$H$5:$H$64,$B9,'Pizza'!$D$5:$D$64,J$5)))</f>
        <v/>
      </c>
      <c r="K9" s="13">
        <f>IF($B9="","",IF(COUNTIFS('Hamburger'!$H$5:$H$64,$B9,'Hamburger'!$D$5:$D$64,K$5,'Hamburger'!$G$5:$G$64,"&gt;0")=0,"–",SUMIFS('Hamburger'!$G$5:$G$64,'Hamburger'!$H$5:$H$64,$B9,'Hamburger'!$D$5:$D$64,K$5)))</f>
        <v/>
      </c>
      <c r="L9" s="13">
        <f>IF($B9="","",IF(COUNTIFS('Hamburger'!$H$5:$H$64,$B9,'Hamburger'!$D$5:$D$64,L$5,'Hamburger'!$G$5:$G$64,"&gt;0")=0,"–",SUMIFS('Hamburger'!$G$5:$G$64,'Hamburger'!$H$5:$H$64,$B9,'Hamburger'!$D$5:$D$64,L$5)))</f>
        <v/>
      </c>
    </row>
    <row r="10" ht="22" customHeight="1">
      <c r="B10" s="11" t="inlineStr">
        <is>
          <t>USA</t>
        </is>
      </c>
      <c r="C10" s="12">
        <f>IF($B10="","",IF(COUNTIFS('Sushi'!$H$5:$H$102,$B10,'Sushi'!$D$5:$D$102,C$5,'Sushi'!$G$5:$G$102,"&gt;0")=0,"–",SUMIFS('Sushi'!$G$5:$G$102,'Sushi'!$H$5:$H$102,$B10,'Sushi'!$D$5:$D$102,C$5)))</f>
        <v/>
      </c>
      <c r="D10" s="12">
        <f>IF($B10="","",IF(COUNTIFS('Sushi'!$H$5:$H$102,$B10,'Sushi'!$D$5:$D$102,D$5,'Sushi'!$G$5:$G$102,"&gt;0")=0,"–",SUMIFS('Sushi'!$G$5:$G$102,'Sushi'!$H$5:$H$102,$B10,'Sushi'!$D$5:$D$102,D$5)))</f>
        <v/>
      </c>
      <c r="E10" s="12">
        <f>IF($B10="","",IF(COUNTIFS('Sushi'!$H$5:$H$102,$B10,'Sushi'!$D$5:$D$102,E$5,'Sushi'!$G$5:$G$102,"&gt;0")=0,"–",SUMIFS('Sushi'!$G$5:$G$102,'Sushi'!$H$5:$H$102,$B10,'Sushi'!$D$5:$D$102,E$5)))</f>
        <v/>
      </c>
      <c r="F10" s="12">
        <f>IF($B10="","",IF(COUNTIFS('Sushi'!$H$5:$H$102,$B10,'Sushi'!$D$5:$D$102,F$5,'Sushi'!$G$5:$G$102,"&gt;0")=0,"–",SUMIFS('Sushi'!$G$5:$G$102,'Sushi'!$H$5:$H$102,$B10,'Sushi'!$D$5:$D$102,F$5)))</f>
        <v/>
      </c>
      <c r="G10" s="12">
        <f>IF($B10="","",IF(COUNTIFS('Donut'!$H$5:$H$64,$B10,'Donut'!$D$5:$D$64,G$5,'Donut'!$G$5:$G$64,"&gt;0")=0,"–",SUMIFS('Donut'!$G$5:$G$64,'Donut'!$H$5:$H$64,$B10,'Donut'!$D$5:$D$64,G$5)))</f>
        <v/>
      </c>
      <c r="H10" s="12">
        <f>IF($B10="","",IF(COUNTIFS('Donut'!$H$5:$H$64,$B10,'Donut'!$D$5:$D$64,H$5,'Donut'!$G$5:$G$64,"&gt;0")=0,"–",SUMIFS('Donut'!$G$5:$G$64,'Donut'!$H$5:$H$64,$B10,'Donut'!$D$5:$D$64,H$5)))</f>
        <v/>
      </c>
      <c r="I10" s="12">
        <f>IF($B10="","",IF(COUNTIFS('Pizza'!$H$5:$H$64,$B10,'Pizza'!$D$5:$D$64,I$5,'Pizza'!$G$5:$G$64,"&gt;0")=0,"–",SUMIFS('Pizza'!$G$5:$G$64,'Pizza'!$H$5:$H$64,$B10,'Pizza'!$D$5:$D$64,I$5)))</f>
        <v/>
      </c>
      <c r="J10" s="12">
        <f>IF($B10="","",IF(COUNTIFS('Pizza'!$H$5:$H$64,$B10,'Pizza'!$D$5:$D$64,J$5,'Pizza'!$G$5:$G$64,"&gt;0")=0,"–",SUMIFS('Pizza'!$G$5:$G$64,'Pizza'!$H$5:$H$64,$B10,'Pizza'!$D$5:$D$64,J$5)))</f>
        <v/>
      </c>
      <c r="K10" s="12">
        <f>IF($B10="","",IF(COUNTIFS('Hamburger'!$H$5:$H$64,$B10,'Hamburger'!$D$5:$D$64,K$5,'Hamburger'!$G$5:$G$64,"&gt;0")=0,"–",SUMIFS('Hamburger'!$G$5:$G$64,'Hamburger'!$H$5:$H$64,$B10,'Hamburger'!$D$5:$D$64,K$5)))</f>
        <v/>
      </c>
      <c r="L10" s="12">
        <f>IF($B10="","",IF(COUNTIFS('Hamburger'!$H$5:$H$64,$B10,'Hamburger'!$D$5:$D$64,L$5,'Hamburger'!$G$5:$G$64,"&gt;0")=0,"–",SUMIFS('Hamburger'!$G$5:$G$64,'Hamburger'!$H$5:$H$64,$B10,'Hamburger'!$D$5:$D$64,L$5)))</f>
        <v/>
      </c>
    </row>
    <row r="11" ht="22" customHeight="1">
      <c r="B11" s="11" t="inlineStr">
        <is>
          <t>UK</t>
        </is>
      </c>
      <c r="C11" s="13">
        <f>IF($B11="","",IF(COUNTIFS('Sushi'!$H$5:$H$102,$B11,'Sushi'!$D$5:$D$102,C$5,'Sushi'!$G$5:$G$102,"&gt;0")=0,"–",SUMIFS('Sushi'!$G$5:$G$102,'Sushi'!$H$5:$H$102,$B11,'Sushi'!$D$5:$D$102,C$5)))</f>
        <v/>
      </c>
      <c r="D11" s="13">
        <f>IF($B11="","",IF(COUNTIFS('Sushi'!$H$5:$H$102,$B11,'Sushi'!$D$5:$D$102,D$5,'Sushi'!$G$5:$G$102,"&gt;0")=0,"–",SUMIFS('Sushi'!$G$5:$G$102,'Sushi'!$H$5:$H$102,$B11,'Sushi'!$D$5:$D$102,D$5)))</f>
        <v/>
      </c>
      <c r="E11" s="13">
        <f>IF($B11="","",IF(COUNTIFS('Sushi'!$H$5:$H$102,$B11,'Sushi'!$D$5:$D$102,E$5,'Sushi'!$G$5:$G$102,"&gt;0")=0,"–",SUMIFS('Sushi'!$G$5:$G$102,'Sushi'!$H$5:$H$102,$B11,'Sushi'!$D$5:$D$102,E$5)))</f>
        <v/>
      </c>
      <c r="F11" s="13">
        <f>IF($B11="","",IF(COUNTIFS('Sushi'!$H$5:$H$102,$B11,'Sushi'!$D$5:$D$102,F$5,'Sushi'!$G$5:$G$102,"&gt;0")=0,"–",SUMIFS('Sushi'!$G$5:$G$102,'Sushi'!$H$5:$H$102,$B11,'Sushi'!$D$5:$D$102,F$5)))</f>
        <v/>
      </c>
      <c r="G11" s="13">
        <f>IF($B11="","",IF(COUNTIFS('Donut'!$H$5:$H$64,$B11,'Donut'!$D$5:$D$64,G$5,'Donut'!$G$5:$G$64,"&gt;0")=0,"–",SUMIFS('Donut'!$G$5:$G$64,'Donut'!$H$5:$H$64,$B11,'Donut'!$D$5:$D$64,G$5)))</f>
        <v/>
      </c>
      <c r="H11" s="13">
        <f>IF($B11="","",IF(COUNTIFS('Donut'!$H$5:$H$64,$B11,'Donut'!$D$5:$D$64,H$5,'Donut'!$G$5:$G$64,"&gt;0")=0,"–",SUMIFS('Donut'!$G$5:$G$64,'Donut'!$H$5:$H$64,$B11,'Donut'!$D$5:$D$64,H$5)))</f>
        <v/>
      </c>
      <c r="I11" s="13">
        <f>IF($B11="","",IF(COUNTIFS('Pizza'!$H$5:$H$64,$B11,'Pizza'!$D$5:$D$64,I$5,'Pizza'!$G$5:$G$64,"&gt;0")=0,"–",SUMIFS('Pizza'!$G$5:$G$64,'Pizza'!$H$5:$H$64,$B11,'Pizza'!$D$5:$D$64,I$5)))</f>
        <v/>
      </c>
      <c r="J11" s="13">
        <f>IF($B11="","",IF(COUNTIFS('Pizza'!$H$5:$H$64,$B11,'Pizza'!$D$5:$D$64,J$5,'Pizza'!$G$5:$G$64,"&gt;0")=0,"–",SUMIFS('Pizza'!$G$5:$G$64,'Pizza'!$H$5:$H$64,$B11,'Pizza'!$D$5:$D$64,J$5)))</f>
        <v/>
      </c>
      <c r="K11" s="13">
        <f>IF($B11="","",IF(COUNTIFS('Hamburger'!$H$5:$H$64,$B11,'Hamburger'!$D$5:$D$64,K$5,'Hamburger'!$G$5:$G$64,"&gt;0")=0,"–",SUMIFS('Hamburger'!$G$5:$G$64,'Hamburger'!$H$5:$H$64,$B11,'Hamburger'!$D$5:$D$64,K$5)))</f>
        <v/>
      </c>
      <c r="L11" s="13">
        <f>IF($B11="","",IF(COUNTIFS('Hamburger'!$H$5:$H$64,$B11,'Hamburger'!$D$5:$D$64,L$5,'Hamburger'!$G$5:$G$64,"&gt;0")=0,"–",SUMIFS('Hamburger'!$G$5:$G$64,'Hamburger'!$H$5:$H$64,$B11,'Hamburger'!$D$5:$D$64,L$5)))</f>
        <v/>
      </c>
    </row>
    <row r="12" ht="22" customHeight="1">
      <c r="B12" s="11" t="inlineStr">
        <is>
          <t>Canada</t>
        </is>
      </c>
      <c r="C12" s="12">
        <f>IF($B12="","",IF(COUNTIFS('Sushi'!$H$5:$H$102,$B12,'Sushi'!$D$5:$D$102,C$5,'Sushi'!$G$5:$G$102,"&gt;0")=0,"–",SUMIFS('Sushi'!$G$5:$G$102,'Sushi'!$H$5:$H$102,$B12,'Sushi'!$D$5:$D$102,C$5)))</f>
        <v/>
      </c>
      <c r="D12" s="12">
        <f>IF($B12="","",IF(COUNTIFS('Sushi'!$H$5:$H$102,$B12,'Sushi'!$D$5:$D$102,D$5,'Sushi'!$G$5:$G$102,"&gt;0")=0,"–",SUMIFS('Sushi'!$G$5:$G$102,'Sushi'!$H$5:$H$102,$B12,'Sushi'!$D$5:$D$102,D$5)))</f>
        <v/>
      </c>
      <c r="E12" s="12">
        <f>IF($B12="","",IF(COUNTIFS('Sushi'!$H$5:$H$102,$B12,'Sushi'!$D$5:$D$102,E$5,'Sushi'!$G$5:$G$102,"&gt;0")=0,"–",SUMIFS('Sushi'!$G$5:$G$102,'Sushi'!$H$5:$H$102,$B12,'Sushi'!$D$5:$D$102,E$5)))</f>
        <v/>
      </c>
      <c r="F12" s="12">
        <f>IF($B12="","",IF(COUNTIFS('Sushi'!$H$5:$H$102,$B12,'Sushi'!$D$5:$D$102,F$5,'Sushi'!$G$5:$G$102,"&gt;0")=0,"–",SUMIFS('Sushi'!$G$5:$G$102,'Sushi'!$H$5:$H$102,$B12,'Sushi'!$D$5:$D$102,F$5)))</f>
        <v/>
      </c>
      <c r="G12" s="12">
        <f>IF($B12="","",IF(COUNTIFS('Donut'!$H$5:$H$64,$B12,'Donut'!$D$5:$D$64,G$5,'Donut'!$G$5:$G$64,"&gt;0")=0,"–",SUMIFS('Donut'!$G$5:$G$64,'Donut'!$H$5:$H$64,$B12,'Donut'!$D$5:$D$64,G$5)))</f>
        <v/>
      </c>
      <c r="H12" s="12">
        <f>IF($B12="","",IF(COUNTIFS('Donut'!$H$5:$H$64,$B12,'Donut'!$D$5:$D$64,H$5,'Donut'!$G$5:$G$64,"&gt;0")=0,"–",SUMIFS('Donut'!$G$5:$G$64,'Donut'!$H$5:$H$64,$B12,'Donut'!$D$5:$D$64,H$5)))</f>
        <v/>
      </c>
      <c r="I12" s="12">
        <f>IF($B12="","",IF(COUNTIFS('Pizza'!$H$5:$H$64,$B12,'Pizza'!$D$5:$D$64,I$5,'Pizza'!$G$5:$G$64,"&gt;0")=0,"–",SUMIFS('Pizza'!$G$5:$G$64,'Pizza'!$H$5:$H$64,$B12,'Pizza'!$D$5:$D$64,I$5)))</f>
        <v/>
      </c>
      <c r="J12" s="12">
        <f>IF($B12="","",IF(COUNTIFS('Pizza'!$H$5:$H$64,$B12,'Pizza'!$D$5:$D$64,J$5,'Pizza'!$G$5:$G$64,"&gt;0")=0,"–",SUMIFS('Pizza'!$G$5:$G$64,'Pizza'!$H$5:$H$64,$B12,'Pizza'!$D$5:$D$64,J$5)))</f>
        <v/>
      </c>
      <c r="K12" s="12">
        <f>IF($B12="","",IF(COUNTIFS('Hamburger'!$H$5:$H$64,$B12,'Hamburger'!$D$5:$D$64,K$5,'Hamburger'!$G$5:$G$64,"&gt;0")=0,"–",SUMIFS('Hamburger'!$G$5:$G$64,'Hamburger'!$H$5:$H$64,$B12,'Hamburger'!$D$5:$D$64,K$5)))</f>
        <v/>
      </c>
      <c r="L12" s="12">
        <f>IF($B12="","",IF(COUNTIFS('Hamburger'!$H$5:$H$64,$B12,'Hamburger'!$D$5:$D$64,L$5,'Hamburger'!$G$5:$G$64,"&gt;0")=0,"–",SUMIFS('Hamburger'!$G$5:$G$64,'Hamburger'!$H$5:$H$64,$B12,'Hamburger'!$D$5:$D$64,L$5)))</f>
        <v/>
      </c>
    </row>
    <row r="13" ht="22" customHeight="1">
      <c r="B13" s="11" t="inlineStr">
        <is>
          <t>Australia</t>
        </is>
      </c>
      <c r="C13" s="13">
        <f>IF($B13="","",IF(COUNTIFS('Sushi'!$H$5:$H$102,$B13,'Sushi'!$D$5:$D$102,C$5,'Sushi'!$G$5:$G$102,"&gt;0")=0,"–",SUMIFS('Sushi'!$G$5:$G$102,'Sushi'!$H$5:$H$102,$B13,'Sushi'!$D$5:$D$102,C$5)))</f>
        <v/>
      </c>
      <c r="D13" s="13">
        <f>IF($B13="","",IF(COUNTIFS('Sushi'!$H$5:$H$102,$B13,'Sushi'!$D$5:$D$102,D$5,'Sushi'!$G$5:$G$102,"&gt;0")=0,"–",SUMIFS('Sushi'!$G$5:$G$102,'Sushi'!$H$5:$H$102,$B13,'Sushi'!$D$5:$D$102,D$5)))</f>
        <v/>
      </c>
      <c r="E13" s="13">
        <f>IF($B13="","",IF(COUNTIFS('Sushi'!$H$5:$H$102,$B13,'Sushi'!$D$5:$D$102,E$5,'Sushi'!$G$5:$G$102,"&gt;0")=0,"–",SUMIFS('Sushi'!$G$5:$G$102,'Sushi'!$H$5:$H$102,$B13,'Sushi'!$D$5:$D$102,E$5)))</f>
        <v/>
      </c>
      <c r="F13" s="13">
        <f>IF($B13="","",IF(COUNTIFS('Sushi'!$H$5:$H$102,$B13,'Sushi'!$D$5:$D$102,F$5,'Sushi'!$G$5:$G$102,"&gt;0")=0,"–",SUMIFS('Sushi'!$G$5:$G$102,'Sushi'!$H$5:$H$102,$B13,'Sushi'!$D$5:$D$102,F$5)))</f>
        <v/>
      </c>
      <c r="G13" s="13">
        <f>IF($B13="","",IF(COUNTIFS('Donut'!$H$5:$H$64,$B13,'Donut'!$D$5:$D$64,G$5,'Donut'!$G$5:$G$64,"&gt;0")=0,"–",SUMIFS('Donut'!$G$5:$G$64,'Donut'!$H$5:$H$64,$B13,'Donut'!$D$5:$D$64,G$5)))</f>
        <v/>
      </c>
      <c r="H13" s="13">
        <f>IF($B13="","",IF(COUNTIFS('Donut'!$H$5:$H$64,$B13,'Donut'!$D$5:$D$64,H$5,'Donut'!$G$5:$G$64,"&gt;0")=0,"–",SUMIFS('Donut'!$G$5:$G$64,'Donut'!$H$5:$H$64,$B13,'Donut'!$D$5:$D$64,H$5)))</f>
        <v/>
      </c>
      <c r="I13" s="13">
        <f>IF($B13="","",IF(COUNTIFS('Pizza'!$H$5:$H$64,$B13,'Pizza'!$D$5:$D$64,I$5,'Pizza'!$G$5:$G$64,"&gt;0")=0,"–",SUMIFS('Pizza'!$G$5:$G$64,'Pizza'!$H$5:$H$64,$B13,'Pizza'!$D$5:$D$64,I$5)))</f>
        <v/>
      </c>
      <c r="J13" s="13">
        <f>IF($B13="","",IF(COUNTIFS('Pizza'!$H$5:$H$64,$B13,'Pizza'!$D$5:$D$64,J$5,'Pizza'!$G$5:$G$64,"&gt;0")=0,"–",SUMIFS('Pizza'!$G$5:$G$64,'Pizza'!$H$5:$H$64,$B13,'Pizza'!$D$5:$D$64,J$5)))</f>
        <v/>
      </c>
      <c r="K13" s="13">
        <f>IF($B13="","",IF(COUNTIFS('Hamburger'!$H$5:$H$64,$B13,'Hamburger'!$D$5:$D$64,K$5,'Hamburger'!$G$5:$G$64,"&gt;0")=0,"–",SUMIFS('Hamburger'!$G$5:$G$64,'Hamburger'!$H$5:$H$64,$B13,'Hamburger'!$D$5:$D$64,K$5)))</f>
        <v/>
      </c>
      <c r="L13" s="13">
        <f>IF($B13="","",IF(COUNTIFS('Hamburger'!$H$5:$H$64,$B13,'Hamburger'!$D$5:$D$64,L$5,'Hamburger'!$G$5:$G$64,"&gt;0")=0,"–",SUMIFS('Hamburger'!$G$5:$G$64,'Hamburger'!$H$5:$H$64,$B13,'Hamburger'!$D$5:$D$64,L$5)))</f>
        <v/>
      </c>
    </row>
    <row r="14" ht="22" customHeight="1">
      <c r="B14" s="11" t="inlineStr">
        <is>
          <t>New Zealand</t>
        </is>
      </c>
      <c r="C14" s="12">
        <f>IF($B14="","",IF(COUNTIFS('Sushi'!$H$5:$H$102,$B14,'Sushi'!$D$5:$D$102,C$5,'Sushi'!$G$5:$G$102,"&gt;0")=0,"–",SUMIFS('Sushi'!$G$5:$G$102,'Sushi'!$H$5:$H$102,$B14,'Sushi'!$D$5:$D$102,C$5)))</f>
        <v/>
      </c>
      <c r="D14" s="12">
        <f>IF($B14="","",IF(COUNTIFS('Sushi'!$H$5:$H$102,$B14,'Sushi'!$D$5:$D$102,D$5,'Sushi'!$G$5:$G$102,"&gt;0")=0,"–",SUMIFS('Sushi'!$G$5:$G$102,'Sushi'!$H$5:$H$102,$B14,'Sushi'!$D$5:$D$102,D$5)))</f>
        <v/>
      </c>
      <c r="E14" s="12">
        <f>IF($B14="","",IF(COUNTIFS('Sushi'!$H$5:$H$102,$B14,'Sushi'!$D$5:$D$102,E$5,'Sushi'!$G$5:$G$102,"&gt;0")=0,"–",SUMIFS('Sushi'!$G$5:$G$102,'Sushi'!$H$5:$H$102,$B14,'Sushi'!$D$5:$D$102,E$5)))</f>
        <v/>
      </c>
      <c r="F14" s="12">
        <f>IF($B14="","",IF(COUNTIFS('Sushi'!$H$5:$H$102,$B14,'Sushi'!$D$5:$D$102,F$5,'Sushi'!$G$5:$G$102,"&gt;0")=0,"–",SUMIFS('Sushi'!$G$5:$G$102,'Sushi'!$H$5:$H$102,$B14,'Sushi'!$D$5:$D$102,F$5)))</f>
        <v/>
      </c>
      <c r="G14" s="12">
        <f>IF($B14="","",IF(COUNTIFS('Donut'!$H$5:$H$64,$B14,'Donut'!$D$5:$D$64,G$5,'Donut'!$G$5:$G$64,"&gt;0")=0,"–",SUMIFS('Donut'!$G$5:$G$64,'Donut'!$H$5:$H$64,$B14,'Donut'!$D$5:$D$64,G$5)))</f>
        <v/>
      </c>
      <c r="H14" s="12">
        <f>IF($B14="","",IF(COUNTIFS('Donut'!$H$5:$H$64,$B14,'Donut'!$D$5:$D$64,H$5,'Donut'!$G$5:$G$64,"&gt;0")=0,"–",SUMIFS('Donut'!$G$5:$G$64,'Donut'!$H$5:$H$64,$B14,'Donut'!$D$5:$D$64,H$5)))</f>
        <v/>
      </c>
      <c r="I14" s="12">
        <f>IF($B14="","",IF(COUNTIFS('Pizza'!$H$5:$H$64,$B14,'Pizza'!$D$5:$D$64,I$5,'Pizza'!$G$5:$G$64,"&gt;0")=0,"–",SUMIFS('Pizza'!$G$5:$G$64,'Pizza'!$H$5:$H$64,$B14,'Pizza'!$D$5:$D$64,I$5)))</f>
        <v/>
      </c>
      <c r="J14" s="12">
        <f>IF($B14="","",IF(COUNTIFS('Pizza'!$H$5:$H$64,$B14,'Pizza'!$D$5:$D$64,J$5,'Pizza'!$G$5:$G$64,"&gt;0")=0,"–",SUMIFS('Pizza'!$G$5:$G$64,'Pizza'!$H$5:$H$64,$B14,'Pizza'!$D$5:$D$64,J$5)))</f>
        <v/>
      </c>
      <c r="K14" s="12">
        <f>IF($B14="","",IF(COUNTIFS('Hamburger'!$H$5:$H$64,$B14,'Hamburger'!$D$5:$D$64,K$5,'Hamburger'!$G$5:$G$64,"&gt;0")=0,"–",SUMIFS('Hamburger'!$G$5:$G$64,'Hamburger'!$H$5:$H$64,$B14,'Hamburger'!$D$5:$D$64,K$5)))</f>
        <v/>
      </c>
      <c r="L14" s="12">
        <f>IF($B14="","",IF(COUNTIFS('Hamburger'!$H$5:$H$64,$B14,'Hamburger'!$D$5:$D$64,L$5,'Hamburger'!$G$5:$G$64,"&gt;0")=0,"–",SUMIFS('Hamburger'!$G$5:$G$64,'Hamburger'!$H$5:$H$64,$B14,'Hamburger'!$D$5:$D$64,L$5)))</f>
        <v/>
      </c>
    </row>
    <row r="15" ht="22" customHeight="1">
      <c r="B15" s="14" t="n"/>
      <c r="C15" s="13">
        <f>IF($B15="","",IF(COUNTIFS('Sushi'!$H$5:$H$102,$B15,'Sushi'!$D$5:$D$102,C$5,'Sushi'!$G$5:$G$102,"&gt;0")=0,"–",SUMIFS('Sushi'!$G$5:$G$102,'Sushi'!$H$5:$H$102,$B15,'Sushi'!$D$5:$D$102,C$5)))</f>
        <v/>
      </c>
      <c r="D15" s="13">
        <f>IF($B15="","",IF(COUNTIFS('Sushi'!$H$5:$H$102,$B15,'Sushi'!$D$5:$D$102,D$5,'Sushi'!$G$5:$G$102,"&gt;0")=0,"–",SUMIFS('Sushi'!$G$5:$G$102,'Sushi'!$H$5:$H$102,$B15,'Sushi'!$D$5:$D$102,D$5)))</f>
        <v/>
      </c>
      <c r="E15" s="13">
        <f>IF($B15="","",IF(COUNTIFS('Sushi'!$H$5:$H$102,$B15,'Sushi'!$D$5:$D$102,E$5,'Sushi'!$G$5:$G$102,"&gt;0")=0,"–",SUMIFS('Sushi'!$G$5:$G$102,'Sushi'!$H$5:$H$102,$B15,'Sushi'!$D$5:$D$102,E$5)))</f>
        <v/>
      </c>
      <c r="F15" s="13">
        <f>IF($B15="","",IF(COUNTIFS('Sushi'!$H$5:$H$102,$B15,'Sushi'!$D$5:$D$102,F$5,'Sushi'!$G$5:$G$102,"&gt;0")=0,"–",SUMIFS('Sushi'!$G$5:$G$102,'Sushi'!$H$5:$H$102,$B15,'Sushi'!$D$5:$D$102,F$5)))</f>
        <v/>
      </c>
      <c r="G15" s="13">
        <f>IF($B15="","",IF(COUNTIFS('Donut'!$H$5:$H$64,$B15,'Donut'!$D$5:$D$64,G$5,'Donut'!$G$5:$G$64,"&gt;0")=0,"–",SUMIFS('Donut'!$G$5:$G$64,'Donut'!$H$5:$H$64,$B15,'Donut'!$D$5:$D$64,G$5)))</f>
        <v/>
      </c>
      <c r="H15" s="13">
        <f>IF($B15="","",IF(COUNTIFS('Donut'!$H$5:$H$64,$B15,'Donut'!$D$5:$D$64,H$5,'Donut'!$G$5:$G$64,"&gt;0")=0,"–",SUMIFS('Donut'!$G$5:$G$64,'Donut'!$H$5:$H$64,$B15,'Donut'!$D$5:$D$64,H$5)))</f>
        <v/>
      </c>
      <c r="I15" s="13">
        <f>IF($B15="","",IF(COUNTIFS('Pizza'!$H$5:$H$64,$B15,'Pizza'!$D$5:$D$64,I$5,'Pizza'!$G$5:$G$64,"&gt;0")=0,"–",SUMIFS('Pizza'!$G$5:$G$64,'Pizza'!$H$5:$H$64,$B15,'Pizza'!$D$5:$D$64,I$5)))</f>
        <v/>
      </c>
      <c r="J15" s="13">
        <f>IF($B15="","",IF(COUNTIFS('Pizza'!$H$5:$H$64,$B15,'Pizza'!$D$5:$D$64,J$5,'Pizza'!$G$5:$G$64,"&gt;0")=0,"–",SUMIFS('Pizza'!$G$5:$G$64,'Pizza'!$H$5:$H$64,$B15,'Pizza'!$D$5:$D$64,J$5)))</f>
        <v/>
      </c>
      <c r="K15" s="13">
        <f>IF($B15="","",IF(COUNTIFS('Hamburger'!$H$5:$H$64,$B15,'Hamburger'!$D$5:$D$64,K$5,'Hamburger'!$G$5:$G$64,"&gt;0")=0,"–",SUMIFS('Hamburger'!$G$5:$G$64,'Hamburger'!$H$5:$H$64,$B15,'Hamburger'!$D$5:$D$64,K$5)))</f>
        <v/>
      </c>
      <c r="L15" s="13">
        <f>IF($B15="","",IF(COUNTIFS('Hamburger'!$H$5:$H$64,$B15,'Hamburger'!$D$5:$D$64,L$5,'Hamburger'!$G$5:$G$64,"&gt;0")=0,"–",SUMIFS('Hamburger'!$G$5:$G$64,'Hamburger'!$H$5:$H$64,$B15,'Hamburger'!$D$5:$D$64,L$5)))</f>
        <v/>
      </c>
    </row>
    <row r="16" ht="22" customHeight="1">
      <c r="B16" s="14" t="n"/>
      <c r="C16" s="12">
        <f>IF($B16="","",IF(COUNTIFS('Sushi'!$H$5:$H$102,$B16,'Sushi'!$D$5:$D$102,C$5,'Sushi'!$G$5:$G$102,"&gt;0")=0,"–",SUMIFS('Sushi'!$G$5:$G$102,'Sushi'!$H$5:$H$102,$B16,'Sushi'!$D$5:$D$102,C$5)))</f>
        <v/>
      </c>
      <c r="D16" s="12">
        <f>IF($B16="","",IF(COUNTIFS('Sushi'!$H$5:$H$102,$B16,'Sushi'!$D$5:$D$102,D$5,'Sushi'!$G$5:$G$102,"&gt;0")=0,"–",SUMIFS('Sushi'!$G$5:$G$102,'Sushi'!$H$5:$H$102,$B16,'Sushi'!$D$5:$D$102,D$5)))</f>
        <v/>
      </c>
      <c r="E16" s="12">
        <f>IF($B16="","",IF(COUNTIFS('Sushi'!$H$5:$H$102,$B16,'Sushi'!$D$5:$D$102,E$5,'Sushi'!$G$5:$G$102,"&gt;0")=0,"–",SUMIFS('Sushi'!$G$5:$G$102,'Sushi'!$H$5:$H$102,$B16,'Sushi'!$D$5:$D$102,E$5)))</f>
        <v/>
      </c>
      <c r="F16" s="12">
        <f>IF($B16="","",IF(COUNTIFS('Sushi'!$H$5:$H$102,$B16,'Sushi'!$D$5:$D$102,F$5,'Sushi'!$G$5:$G$102,"&gt;0")=0,"–",SUMIFS('Sushi'!$G$5:$G$102,'Sushi'!$H$5:$H$102,$B16,'Sushi'!$D$5:$D$102,F$5)))</f>
        <v/>
      </c>
      <c r="G16" s="12">
        <f>IF($B16="","",IF(COUNTIFS('Donut'!$H$5:$H$64,$B16,'Donut'!$D$5:$D$64,G$5,'Donut'!$G$5:$G$64,"&gt;0")=0,"–",SUMIFS('Donut'!$G$5:$G$64,'Donut'!$H$5:$H$64,$B16,'Donut'!$D$5:$D$64,G$5)))</f>
        <v/>
      </c>
      <c r="H16" s="12">
        <f>IF($B16="","",IF(COUNTIFS('Donut'!$H$5:$H$64,$B16,'Donut'!$D$5:$D$64,H$5,'Donut'!$G$5:$G$64,"&gt;0")=0,"–",SUMIFS('Donut'!$G$5:$G$64,'Donut'!$H$5:$H$64,$B16,'Donut'!$D$5:$D$64,H$5)))</f>
        <v/>
      </c>
      <c r="I16" s="12">
        <f>IF($B16="","",IF(COUNTIFS('Pizza'!$H$5:$H$64,$B16,'Pizza'!$D$5:$D$64,I$5,'Pizza'!$G$5:$G$64,"&gt;0")=0,"–",SUMIFS('Pizza'!$G$5:$G$64,'Pizza'!$H$5:$H$64,$B16,'Pizza'!$D$5:$D$64,I$5)))</f>
        <v/>
      </c>
      <c r="J16" s="12">
        <f>IF($B16="","",IF(COUNTIFS('Pizza'!$H$5:$H$64,$B16,'Pizza'!$D$5:$D$64,J$5,'Pizza'!$G$5:$G$64,"&gt;0")=0,"–",SUMIFS('Pizza'!$G$5:$G$64,'Pizza'!$H$5:$H$64,$B16,'Pizza'!$D$5:$D$64,J$5)))</f>
        <v/>
      </c>
      <c r="K16" s="12">
        <f>IF($B16="","",IF(COUNTIFS('Hamburger'!$H$5:$H$64,$B16,'Hamburger'!$D$5:$D$64,K$5,'Hamburger'!$G$5:$G$64,"&gt;0")=0,"–",SUMIFS('Hamburger'!$G$5:$G$64,'Hamburger'!$H$5:$H$64,$B16,'Hamburger'!$D$5:$D$64,K$5)))</f>
        <v/>
      </c>
      <c r="L16" s="12">
        <f>IF($B16="","",IF(COUNTIFS('Hamburger'!$H$5:$H$64,$B16,'Hamburger'!$D$5:$D$64,L$5,'Hamburger'!$G$5:$G$64,"&gt;0")=0,"–",SUMIFS('Hamburger'!$G$5:$G$64,'Hamburger'!$H$5:$H$64,$B16,'Hamburger'!$D$5:$D$64,L$5)))</f>
        <v/>
      </c>
    </row>
    <row r="17" ht="22" customHeight="1">
      <c r="B17" s="14" t="n"/>
      <c r="C17" s="13">
        <f>IF($B17="","",IF(COUNTIFS('Sushi'!$H$5:$H$102,$B17,'Sushi'!$D$5:$D$102,C$5,'Sushi'!$G$5:$G$102,"&gt;0")=0,"–",SUMIFS('Sushi'!$G$5:$G$102,'Sushi'!$H$5:$H$102,$B17,'Sushi'!$D$5:$D$102,C$5)))</f>
        <v/>
      </c>
      <c r="D17" s="13">
        <f>IF($B17="","",IF(COUNTIFS('Sushi'!$H$5:$H$102,$B17,'Sushi'!$D$5:$D$102,D$5,'Sushi'!$G$5:$G$102,"&gt;0")=0,"–",SUMIFS('Sushi'!$G$5:$G$102,'Sushi'!$H$5:$H$102,$B17,'Sushi'!$D$5:$D$102,D$5)))</f>
        <v/>
      </c>
      <c r="E17" s="13">
        <f>IF($B17="","",IF(COUNTIFS('Sushi'!$H$5:$H$102,$B17,'Sushi'!$D$5:$D$102,E$5,'Sushi'!$G$5:$G$102,"&gt;0")=0,"–",SUMIFS('Sushi'!$G$5:$G$102,'Sushi'!$H$5:$H$102,$B17,'Sushi'!$D$5:$D$102,E$5)))</f>
        <v/>
      </c>
      <c r="F17" s="13">
        <f>IF($B17="","",IF(COUNTIFS('Sushi'!$H$5:$H$102,$B17,'Sushi'!$D$5:$D$102,F$5,'Sushi'!$G$5:$G$102,"&gt;0")=0,"–",SUMIFS('Sushi'!$G$5:$G$102,'Sushi'!$H$5:$H$102,$B17,'Sushi'!$D$5:$D$102,F$5)))</f>
        <v/>
      </c>
      <c r="G17" s="13">
        <f>IF($B17="","",IF(COUNTIFS('Donut'!$H$5:$H$64,$B17,'Donut'!$D$5:$D$64,G$5,'Donut'!$G$5:$G$64,"&gt;0")=0,"–",SUMIFS('Donut'!$G$5:$G$64,'Donut'!$H$5:$H$64,$B17,'Donut'!$D$5:$D$64,G$5)))</f>
        <v/>
      </c>
      <c r="H17" s="13">
        <f>IF($B17="","",IF(COUNTIFS('Donut'!$H$5:$H$64,$B17,'Donut'!$D$5:$D$64,H$5,'Donut'!$G$5:$G$64,"&gt;0")=0,"–",SUMIFS('Donut'!$G$5:$G$64,'Donut'!$H$5:$H$64,$B17,'Donut'!$D$5:$D$64,H$5)))</f>
        <v/>
      </c>
      <c r="I17" s="13">
        <f>IF($B17="","",IF(COUNTIFS('Pizza'!$H$5:$H$64,$B17,'Pizza'!$D$5:$D$64,I$5,'Pizza'!$G$5:$G$64,"&gt;0")=0,"–",SUMIFS('Pizza'!$G$5:$G$64,'Pizza'!$H$5:$H$64,$B17,'Pizza'!$D$5:$D$64,I$5)))</f>
        <v/>
      </c>
      <c r="J17" s="13">
        <f>IF($B17="","",IF(COUNTIFS('Pizza'!$H$5:$H$64,$B17,'Pizza'!$D$5:$D$64,J$5,'Pizza'!$G$5:$G$64,"&gt;0")=0,"–",SUMIFS('Pizza'!$G$5:$G$64,'Pizza'!$H$5:$H$64,$B17,'Pizza'!$D$5:$D$64,J$5)))</f>
        <v/>
      </c>
      <c r="K17" s="13">
        <f>IF($B17="","",IF(COUNTIFS('Hamburger'!$H$5:$H$64,$B17,'Hamburger'!$D$5:$D$64,K$5,'Hamburger'!$G$5:$G$64,"&gt;0")=0,"–",SUMIFS('Hamburger'!$G$5:$G$64,'Hamburger'!$H$5:$H$64,$B17,'Hamburger'!$D$5:$D$64,K$5)))</f>
        <v/>
      </c>
      <c r="L17" s="13">
        <f>IF($B17="","",IF(COUNTIFS('Hamburger'!$H$5:$H$64,$B17,'Hamburger'!$D$5:$D$64,L$5,'Hamburger'!$G$5:$G$64,"&gt;0")=0,"–",SUMIFS('Hamburger'!$G$5:$G$64,'Hamburger'!$H$5:$H$64,$B17,'Hamburger'!$D$5:$D$64,L$5)))</f>
        <v/>
      </c>
    </row>
    <row r="18" ht="22" customHeight="1">
      <c r="B18" s="14" t="n"/>
      <c r="C18" s="12">
        <f>IF($B18="","",IF(COUNTIFS('Sushi'!$H$5:$H$102,$B18,'Sushi'!$D$5:$D$102,C$5,'Sushi'!$G$5:$G$102,"&gt;0")=0,"–",SUMIFS('Sushi'!$G$5:$G$102,'Sushi'!$H$5:$H$102,$B18,'Sushi'!$D$5:$D$102,C$5)))</f>
        <v/>
      </c>
      <c r="D18" s="12">
        <f>IF($B18="","",IF(COUNTIFS('Sushi'!$H$5:$H$102,$B18,'Sushi'!$D$5:$D$102,D$5,'Sushi'!$G$5:$G$102,"&gt;0")=0,"–",SUMIFS('Sushi'!$G$5:$G$102,'Sushi'!$H$5:$H$102,$B18,'Sushi'!$D$5:$D$102,D$5)))</f>
        <v/>
      </c>
      <c r="E18" s="12">
        <f>IF($B18="","",IF(COUNTIFS('Sushi'!$H$5:$H$102,$B18,'Sushi'!$D$5:$D$102,E$5,'Sushi'!$G$5:$G$102,"&gt;0")=0,"–",SUMIFS('Sushi'!$G$5:$G$102,'Sushi'!$H$5:$H$102,$B18,'Sushi'!$D$5:$D$102,E$5)))</f>
        <v/>
      </c>
      <c r="F18" s="12">
        <f>IF($B18="","",IF(COUNTIFS('Sushi'!$H$5:$H$102,$B18,'Sushi'!$D$5:$D$102,F$5,'Sushi'!$G$5:$G$102,"&gt;0")=0,"–",SUMIFS('Sushi'!$G$5:$G$102,'Sushi'!$H$5:$H$102,$B18,'Sushi'!$D$5:$D$102,F$5)))</f>
        <v/>
      </c>
      <c r="G18" s="12">
        <f>IF($B18="","",IF(COUNTIFS('Donut'!$H$5:$H$64,$B18,'Donut'!$D$5:$D$64,G$5,'Donut'!$G$5:$G$64,"&gt;0")=0,"–",SUMIFS('Donut'!$G$5:$G$64,'Donut'!$H$5:$H$64,$B18,'Donut'!$D$5:$D$64,G$5)))</f>
        <v/>
      </c>
      <c r="H18" s="12">
        <f>IF($B18="","",IF(COUNTIFS('Donut'!$H$5:$H$64,$B18,'Donut'!$D$5:$D$64,H$5,'Donut'!$G$5:$G$64,"&gt;0")=0,"–",SUMIFS('Donut'!$G$5:$G$64,'Donut'!$H$5:$H$64,$B18,'Donut'!$D$5:$D$64,H$5)))</f>
        <v/>
      </c>
      <c r="I18" s="12">
        <f>IF($B18="","",IF(COUNTIFS('Pizza'!$H$5:$H$64,$B18,'Pizza'!$D$5:$D$64,I$5,'Pizza'!$G$5:$G$64,"&gt;0")=0,"–",SUMIFS('Pizza'!$G$5:$G$64,'Pizza'!$H$5:$H$64,$B18,'Pizza'!$D$5:$D$64,I$5)))</f>
        <v/>
      </c>
      <c r="J18" s="12">
        <f>IF($B18="","",IF(COUNTIFS('Pizza'!$H$5:$H$64,$B18,'Pizza'!$D$5:$D$64,J$5,'Pizza'!$G$5:$G$64,"&gt;0")=0,"–",SUMIFS('Pizza'!$G$5:$G$64,'Pizza'!$H$5:$H$64,$B18,'Pizza'!$D$5:$D$64,J$5)))</f>
        <v/>
      </c>
      <c r="K18" s="12">
        <f>IF($B18="","",IF(COUNTIFS('Hamburger'!$H$5:$H$64,$B18,'Hamburger'!$D$5:$D$64,K$5,'Hamburger'!$G$5:$G$64,"&gt;0")=0,"–",SUMIFS('Hamburger'!$G$5:$G$64,'Hamburger'!$H$5:$H$64,$B18,'Hamburger'!$D$5:$D$64,K$5)))</f>
        <v/>
      </c>
      <c r="L18" s="12">
        <f>IF($B18="","",IF(COUNTIFS('Hamburger'!$H$5:$H$64,$B18,'Hamburger'!$D$5:$D$64,L$5,'Hamburger'!$G$5:$G$64,"&gt;0")=0,"–",SUMIFS('Hamburger'!$G$5:$G$64,'Hamburger'!$H$5:$H$64,$B18,'Hamburger'!$D$5:$D$64,L$5)))</f>
        <v/>
      </c>
    </row>
    <row r="19" ht="22" customHeight="1">
      <c r="B19" s="14" t="n"/>
      <c r="C19" s="13">
        <f>IF($B19="","",IF(COUNTIFS('Sushi'!$H$5:$H$102,$B19,'Sushi'!$D$5:$D$102,C$5,'Sushi'!$G$5:$G$102,"&gt;0")=0,"–",SUMIFS('Sushi'!$G$5:$G$102,'Sushi'!$H$5:$H$102,$B19,'Sushi'!$D$5:$D$102,C$5)))</f>
        <v/>
      </c>
      <c r="D19" s="13">
        <f>IF($B19="","",IF(COUNTIFS('Sushi'!$H$5:$H$102,$B19,'Sushi'!$D$5:$D$102,D$5,'Sushi'!$G$5:$G$102,"&gt;0")=0,"–",SUMIFS('Sushi'!$G$5:$G$102,'Sushi'!$H$5:$H$102,$B19,'Sushi'!$D$5:$D$102,D$5)))</f>
        <v/>
      </c>
      <c r="E19" s="13">
        <f>IF($B19="","",IF(COUNTIFS('Sushi'!$H$5:$H$102,$B19,'Sushi'!$D$5:$D$102,E$5,'Sushi'!$G$5:$G$102,"&gt;0")=0,"–",SUMIFS('Sushi'!$G$5:$G$102,'Sushi'!$H$5:$H$102,$B19,'Sushi'!$D$5:$D$102,E$5)))</f>
        <v/>
      </c>
      <c r="F19" s="13">
        <f>IF($B19="","",IF(COUNTIFS('Sushi'!$H$5:$H$102,$B19,'Sushi'!$D$5:$D$102,F$5,'Sushi'!$G$5:$G$102,"&gt;0")=0,"–",SUMIFS('Sushi'!$G$5:$G$102,'Sushi'!$H$5:$H$102,$B19,'Sushi'!$D$5:$D$102,F$5)))</f>
        <v/>
      </c>
      <c r="G19" s="13">
        <f>IF($B19="","",IF(COUNTIFS('Donut'!$H$5:$H$64,$B19,'Donut'!$D$5:$D$64,G$5,'Donut'!$G$5:$G$64,"&gt;0")=0,"–",SUMIFS('Donut'!$G$5:$G$64,'Donut'!$H$5:$H$64,$B19,'Donut'!$D$5:$D$64,G$5)))</f>
        <v/>
      </c>
      <c r="H19" s="13">
        <f>IF($B19="","",IF(COUNTIFS('Donut'!$H$5:$H$64,$B19,'Donut'!$D$5:$D$64,H$5,'Donut'!$G$5:$G$64,"&gt;0")=0,"–",SUMIFS('Donut'!$G$5:$G$64,'Donut'!$H$5:$H$64,$B19,'Donut'!$D$5:$D$64,H$5)))</f>
        <v/>
      </c>
      <c r="I19" s="13">
        <f>IF($B19="","",IF(COUNTIFS('Pizza'!$H$5:$H$64,$B19,'Pizza'!$D$5:$D$64,I$5,'Pizza'!$G$5:$G$64,"&gt;0")=0,"–",SUMIFS('Pizza'!$G$5:$G$64,'Pizza'!$H$5:$H$64,$B19,'Pizza'!$D$5:$D$64,I$5)))</f>
        <v/>
      </c>
      <c r="J19" s="13">
        <f>IF($B19="","",IF(COUNTIFS('Pizza'!$H$5:$H$64,$B19,'Pizza'!$D$5:$D$64,J$5,'Pizza'!$G$5:$G$64,"&gt;0")=0,"–",SUMIFS('Pizza'!$G$5:$G$64,'Pizza'!$H$5:$H$64,$B19,'Pizza'!$D$5:$D$64,J$5)))</f>
        <v/>
      </c>
      <c r="K19" s="13">
        <f>IF($B19="","",IF(COUNTIFS('Hamburger'!$H$5:$H$64,$B19,'Hamburger'!$D$5:$D$64,K$5,'Hamburger'!$G$5:$G$64,"&gt;0")=0,"–",SUMIFS('Hamburger'!$G$5:$G$64,'Hamburger'!$H$5:$H$64,$B19,'Hamburger'!$D$5:$D$64,K$5)))</f>
        <v/>
      </c>
      <c r="L19" s="13">
        <f>IF($B19="","",IF(COUNTIFS('Hamburger'!$H$5:$H$64,$B19,'Hamburger'!$D$5:$D$64,L$5,'Hamburger'!$G$5:$G$64,"&gt;0")=0,"–",SUMIFS('Hamburger'!$G$5:$G$64,'Hamburger'!$H$5:$H$64,$B19,'Hamburger'!$D$5:$D$64,L$5)))</f>
        <v/>
      </c>
    </row>
    <row r="20" ht="22" customHeight="1">
      <c r="B20" s="14" t="n"/>
      <c r="C20" s="12">
        <f>IF($B20="","",IF(COUNTIFS('Sushi'!$H$5:$H$102,$B20,'Sushi'!$D$5:$D$102,C$5,'Sushi'!$G$5:$G$102,"&gt;0")=0,"–",SUMIFS('Sushi'!$G$5:$G$102,'Sushi'!$H$5:$H$102,$B20,'Sushi'!$D$5:$D$102,C$5)))</f>
        <v/>
      </c>
      <c r="D20" s="12">
        <f>IF($B20="","",IF(COUNTIFS('Sushi'!$H$5:$H$102,$B20,'Sushi'!$D$5:$D$102,D$5,'Sushi'!$G$5:$G$102,"&gt;0")=0,"–",SUMIFS('Sushi'!$G$5:$G$102,'Sushi'!$H$5:$H$102,$B20,'Sushi'!$D$5:$D$102,D$5)))</f>
        <v/>
      </c>
      <c r="E20" s="12">
        <f>IF($B20="","",IF(COUNTIFS('Sushi'!$H$5:$H$102,$B20,'Sushi'!$D$5:$D$102,E$5,'Sushi'!$G$5:$G$102,"&gt;0")=0,"–",SUMIFS('Sushi'!$G$5:$G$102,'Sushi'!$H$5:$H$102,$B20,'Sushi'!$D$5:$D$102,E$5)))</f>
        <v/>
      </c>
      <c r="F20" s="12">
        <f>IF($B20="","",IF(COUNTIFS('Sushi'!$H$5:$H$102,$B20,'Sushi'!$D$5:$D$102,F$5,'Sushi'!$G$5:$G$102,"&gt;0")=0,"–",SUMIFS('Sushi'!$G$5:$G$102,'Sushi'!$H$5:$H$102,$B20,'Sushi'!$D$5:$D$102,F$5)))</f>
        <v/>
      </c>
      <c r="G20" s="12">
        <f>IF($B20="","",IF(COUNTIFS('Donut'!$H$5:$H$64,$B20,'Donut'!$D$5:$D$64,G$5,'Donut'!$G$5:$G$64,"&gt;0")=0,"–",SUMIFS('Donut'!$G$5:$G$64,'Donut'!$H$5:$H$64,$B20,'Donut'!$D$5:$D$64,G$5)))</f>
        <v/>
      </c>
      <c r="H20" s="12">
        <f>IF($B20="","",IF(COUNTIFS('Donut'!$H$5:$H$64,$B20,'Donut'!$D$5:$D$64,H$5,'Donut'!$G$5:$G$64,"&gt;0")=0,"–",SUMIFS('Donut'!$G$5:$G$64,'Donut'!$H$5:$H$64,$B20,'Donut'!$D$5:$D$64,H$5)))</f>
        <v/>
      </c>
      <c r="I20" s="12">
        <f>IF($B20="","",IF(COUNTIFS('Pizza'!$H$5:$H$64,$B20,'Pizza'!$D$5:$D$64,I$5,'Pizza'!$G$5:$G$64,"&gt;0")=0,"–",SUMIFS('Pizza'!$G$5:$G$64,'Pizza'!$H$5:$H$64,$B20,'Pizza'!$D$5:$D$64,I$5)))</f>
        <v/>
      </c>
      <c r="J20" s="12">
        <f>IF($B20="","",IF(COUNTIFS('Pizza'!$H$5:$H$64,$B20,'Pizza'!$D$5:$D$64,J$5,'Pizza'!$G$5:$G$64,"&gt;0")=0,"–",SUMIFS('Pizza'!$G$5:$G$64,'Pizza'!$H$5:$H$64,$B20,'Pizza'!$D$5:$D$64,J$5)))</f>
        <v/>
      </c>
      <c r="K20" s="12">
        <f>IF($B20="","",IF(COUNTIFS('Hamburger'!$H$5:$H$64,$B20,'Hamburger'!$D$5:$D$64,K$5,'Hamburger'!$G$5:$G$64,"&gt;0")=0,"–",SUMIFS('Hamburger'!$G$5:$G$64,'Hamburger'!$H$5:$H$64,$B20,'Hamburger'!$D$5:$D$64,K$5)))</f>
        <v/>
      </c>
      <c r="L20" s="12">
        <f>IF($B20="","",IF(COUNTIFS('Hamburger'!$H$5:$H$64,$B20,'Hamburger'!$D$5:$D$64,L$5,'Hamburger'!$G$5:$G$64,"&gt;0")=0,"–",SUMIFS('Hamburger'!$G$5:$G$64,'Hamburger'!$H$5:$H$64,$B20,'Hamburger'!$D$5:$D$64,L$5)))</f>
        <v/>
      </c>
    </row>
    <row r="21" ht="22" customHeight="1">
      <c r="B21" s="14" t="n"/>
      <c r="C21" s="13">
        <f>IF($B21="","",IF(COUNTIFS('Sushi'!$H$5:$H$102,$B21,'Sushi'!$D$5:$D$102,C$5,'Sushi'!$G$5:$G$102,"&gt;0")=0,"–",SUMIFS('Sushi'!$G$5:$G$102,'Sushi'!$H$5:$H$102,$B21,'Sushi'!$D$5:$D$102,C$5)))</f>
        <v/>
      </c>
      <c r="D21" s="13">
        <f>IF($B21="","",IF(COUNTIFS('Sushi'!$H$5:$H$102,$B21,'Sushi'!$D$5:$D$102,D$5,'Sushi'!$G$5:$G$102,"&gt;0")=0,"–",SUMIFS('Sushi'!$G$5:$G$102,'Sushi'!$H$5:$H$102,$B21,'Sushi'!$D$5:$D$102,D$5)))</f>
        <v/>
      </c>
      <c r="E21" s="13">
        <f>IF($B21="","",IF(COUNTIFS('Sushi'!$H$5:$H$102,$B21,'Sushi'!$D$5:$D$102,E$5,'Sushi'!$G$5:$G$102,"&gt;0")=0,"–",SUMIFS('Sushi'!$G$5:$G$102,'Sushi'!$H$5:$H$102,$B21,'Sushi'!$D$5:$D$102,E$5)))</f>
        <v/>
      </c>
      <c r="F21" s="13">
        <f>IF($B21="","",IF(COUNTIFS('Sushi'!$H$5:$H$102,$B21,'Sushi'!$D$5:$D$102,F$5,'Sushi'!$G$5:$G$102,"&gt;0")=0,"–",SUMIFS('Sushi'!$G$5:$G$102,'Sushi'!$H$5:$H$102,$B21,'Sushi'!$D$5:$D$102,F$5)))</f>
        <v/>
      </c>
      <c r="G21" s="13">
        <f>IF($B21="","",IF(COUNTIFS('Donut'!$H$5:$H$64,$B21,'Donut'!$D$5:$D$64,G$5,'Donut'!$G$5:$G$64,"&gt;0")=0,"–",SUMIFS('Donut'!$G$5:$G$64,'Donut'!$H$5:$H$64,$B21,'Donut'!$D$5:$D$64,G$5)))</f>
        <v/>
      </c>
      <c r="H21" s="13">
        <f>IF($B21="","",IF(COUNTIFS('Donut'!$H$5:$H$64,$B21,'Donut'!$D$5:$D$64,H$5,'Donut'!$G$5:$G$64,"&gt;0")=0,"–",SUMIFS('Donut'!$G$5:$G$64,'Donut'!$H$5:$H$64,$B21,'Donut'!$D$5:$D$64,H$5)))</f>
        <v/>
      </c>
      <c r="I21" s="13">
        <f>IF($B21="","",IF(COUNTIFS('Pizza'!$H$5:$H$64,$B21,'Pizza'!$D$5:$D$64,I$5,'Pizza'!$G$5:$G$64,"&gt;0")=0,"–",SUMIFS('Pizza'!$G$5:$G$64,'Pizza'!$H$5:$H$64,$B21,'Pizza'!$D$5:$D$64,I$5)))</f>
        <v/>
      </c>
      <c r="J21" s="13">
        <f>IF($B21="","",IF(COUNTIFS('Pizza'!$H$5:$H$64,$B21,'Pizza'!$D$5:$D$64,J$5,'Pizza'!$G$5:$G$64,"&gt;0")=0,"–",SUMIFS('Pizza'!$G$5:$G$64,'Pizza'!$H$5:$H$64,$B21,'Pizza'!$D$5:$D$64,J$5)))</f>
        <v/>
      </c>
      <c r="K21" s="13">
        <f>IF($B21="","",IF(COUNTIFS('Hamburger'!$H$5:$H$64,$B21,'Hamburger'!$D$5:$D$64,K$5,'Hamburger'!$G$5:$G$64,"&gt;0")=0,"–",SUMIFS('Hamburger'!$G$5:$G$64,'Hamburger'!$H$5:$H$64,$B21,'Hamburger'!$D$5:$D$64,K$5)))</f>
        <v/>
      </c>
      <c r="L21" s="13">
        <f>IF($B21="","",IF(COUNTIFS('Hamburger'!$H$5:$H$64,$B21,'Hamburger'!$D$5:$D$64,L$5,'Hamburger'!$G$5:$G$64,"&gt;0")=0,"–",SUMIFS('Hamburger'!$G$5:$G$64,'Hamburger'!$H$5:$H$64,$B21,'Hamburger'!$D$5:$D$64,L$5)))</f>
        <v/>
      </c>
    </row>
    <row r="22" ht="22" customHeight="1">
      <c r="B22" s="14" t="n"/>
      <c r="C22" s="12">
        <f>IF($B22="","",IF(COUNTIFS('Sushi'!$H$5:$H$102,$B22,'Sushi'!$D$5:$D$102,C$5,'Sushi'!$G$5:$G$102,"&gt;0")=0,"–",SUMIFS('Sushi'!$G$5:$G$102,'Sushi'!$H$5:$H$102,$B22,'Sushi'!$D$5:$D$102,C$5)))</f>
        <v/>
      </c>
      <c r="D22" s="12">
        <f>IF($B22="","",IF(COUNTIFS('Sushi'!$H$5:$H$102,$B22,'Sushi'!$D$5:$D$102,D$5,'Sushi'!$G$5:$G$102,"&gt;0")=0,"–",SUMIFS('Sushi'!$G$5:$G$102,'Sushi'!$H$5:$H$102,$B22,'Sushi'!$D$5:$D$102,D$5)))</f>
        <v/>
      </c>
      <c r="E22" s="12">
        <f>IF($B22="","",IF(COUNTIFS('Sushi'!$H$5:$H$102,$B22,'Sushi'!$D$5:$D$102,E$5,'Sushi'!$G$5:$G$102,"&gt;0")=0,"–",SUMIFS('Sushi'!$G$5:$G$102,'Sushi'!$H$5:$H$102,$B22,'Sushi'!$D$5:$D$102,E$5)))</f>
        <v/>
      </c>
      <c r="F22" s="12">
        <f>IF($B22="","",IF(COUNTIFS('Sushi'!$H$5:$H$102,$B22,'Sushi'!$D$5:$D$102,F$5,'Sushi'!$G$5:$G$102,"&gt;0")=0,"–",SUMIFS('Sushi'!$G$5:$G$102,'Sushi'!$H$5:$H$102,$B22,'Sushi'!$D$5:$D$102,F$5)))</f>
        <v/>
      </c>
      <c r="G22" s="12">
        <f>IF($B22="","",IF(COUNTIFS('Donut'!$H$5:$H$64,$B22,'Donut'!$D$5:$D$64,G$5,'Donut'!$G$5:$G$64,"&gt;0")=0,"–",SUMIFS('Donut'!$G$5:$G$64,'Donut'!$H$5:$H$64,$B22,'Donut'!$D$5:$D$64,G$5)))</f>
        <v/>
      </c>
      <c r="H22" s="12">
        <f>IF($B22="","",IF(COUNTIFS('Donut'!$H$5:$H$64,$B22,'Donut'!$D$5:$D$64,H$5,'Donut'!$G$5:$G$64,"&gt;0")=0,"–",SUMIFS('Donut'!$G$5:$G$64,'Donut'!$H$5:$H$64,$B22,'Donut'!$D$5:$D$64,H$5)))</f>
        <v/>
      </c>
      <c r="I22" s="12">
        <f>IF($B22="","",IF(COUNTIFS('Pizza'!$H$5:$H$64,$B22,'Pizza'!$D$5:$D$64,I$5,'Pizza'!$G$5:$G$64,"&gt;0")=0,"–",SUMIFS('Pizza'!$G$5:$G$64,'Pizza'!$H$5:$H$64,$B22,'Pizza'!$D$5:$D$64,I$5)))</f>
        <v/>
      </c>
      <c r="J22" s="12">
        <f>IF($B22="","",IF(COUNTIFS('Pizza'!$H$5:$H$64,$B22,'Pizza'!$D$5:$D$64,J$5,'Pizza'!$G$5:$G$64,"&gt;0")=0,"–",SUMIFS('Pizza'!$G$5:$G$64,'Pizza'!$H$5:$H$64,$B22,'Pizza'!$D$5:$D$64,J$5)))</f>
        <v/>
      </c>
      <c r="K22" s="12">
        <f>IF($B22="","",IF(COUNTIFS('Hamburger'!$H$5:$H$64,$B22,'Hamburger'!$D$5:$D$64,K$5,'Hamburger'!$G$5:$G$64,"&gt;0")=0,"–",SUMIFS('Hamburger'!$G$5:$G$64,'Hamburger'!$H$5:$H$64,$B22,'Hamburger'!$D$5:$D$64,K$5)))</f>
        <v/>
      </c>
      <c r="L22" s="12">
        <f>IF($B22="","",IF(COUNTIFS('Hamburger'!$H$5:$H$64,$B22,'Hamburger'!$D$5:$D$64,L$5,'Hamburger'!$G$5:$G$64,"&gt;0")=0,"–",SUMIFS('Hamburger'!$G$5:$G$64,'Hamburger'!$H$5:$H$64,$B22,'Hamburger'!$D$5:$D$64,L$5)))</f>
        <v/>
      </c>
    </row>
    <row r="23" ht="22" customHeight="1">
      <c r="B23" s="14" t="n"/>
      <c r="C23" s="13">
        <f>IF($B23="","",IF(COUNTIFS('Sushi'!$H$5:$H$102,$B23,'Sushi'!$D$5:$D$102,C$5,'Sushi'!$G$5:$G$102,"&gt;0")=0,"–",SUMIFS('Sushi'!$G$5:$G$102,'Sushi'!$H$5:$H$102,$B23,'Sushi'!$D$5:$D$102,C$5)))</f>
        <v/>
      </c>
      <c r="D23" s="13">
        <f>IF($B23="","",IF(COUNTIFS('Sushi'!$H$5:$H$102,$B23,'Sushi'!$D$5:$D$102,D$5,'Sushi'!$G$5:$G$102,"&gt;0")=0,"–",SUMIFS('Sushi'!$G$5:$G$102,'Sushi'!$H$5:$H$102,$B23,'Sushi'!$D$5:$D$102,D$5)))</f>
        <v/>
      </c>
      <c r="E23" s="13">
        <f>IF($B23="","",IF(COUNTIFS('Sushi'!$H$5:$H$102,$B23,'Sushi'!$D$5:$D$102,E$5,'Sushi'!$G$5:$G$102,"&gt;0")=0,"–",SUMIFS('Sushi'!$G$5:$G$102,'Sushi'!$H$5:$H$102,$B23,'Sushi'!$D$5:$D$102,E$5)))</f>
        <v/>
      </c>
      <c r="F23" s="13">
        <f>IF($B23="","",IF(COUNTIFS('Sushi'!$H$5:$H$102,$B23,'Sushi'!$D$5:$D$102,F$5,'Sushi'!$G$5:$G$102,"&gt;0")=0,"–",SUMIFS('Sushi'!$G$5:$G$102,'Sushi'!$H$5:$H$102,$B23,'Sushi'!$D$5:$D$102,F$5)))</f>
        <v/>
      </c>
      <c r="G23" s="13">
        <f>IF($B23="","",IF(COUNTIFS('Donut'!$H$5:$H$64,$B23,'Donut'!$D$5:$D$64,G$5,'Donut'!$G$5:$G$64,"&gt;0")=0,"–",SUMIFS('Donut'!$G$5:$G$64,'Donut'!$H$5:$H$64,$B23,'Donut'!$D$5:$D$64,G$5)))</f>
        <v/>
      </c>
      <c r="H23" s="13">
        <f>IF($B23="","",IF(COUNTIFS('Donut'!$H$5:$H$64,$B23,'Donut'!$D$5:$D$64,H$5,'Donut'!$G$5:$G$64,"&gt;0")=0,"–",SUMIFS('Donut'!$G$5:$G$64,'Donut'!$H$5:$H$64,$B23,'Donut'!$D$5:$D$64,H$5)))</f>
        <v/>
      </c>
      <c r="I23" s="13">
        <f>IF($B23="","",IF(COUNTIFS('Pizza'!$H$5:$H$64,$B23,'Pizza'!$D$5:$D$64,I$5,'Pizza'!$G$5:$G$64,"&gt;0")=0,"–",SUMIFS('Pizza'!$G$5:$G$64,'Pizza'!$H$5:$H$64,$B23,'Pizza'!$D$5:$D$64,I$5)))</f>
        <v/>
      </c>
      <c r="J23" s="13">
        <f>IF($B23="","",IF(COUNTIFS('Pizza'!$H$5:$H$64,$B23,'Pizza'!$D$5:$D$64,J$5,'Pizza'!$G$5:$G$64,"&gt;0")=0,"–",SUMIFS('Pizza'!$G$5:$G$64,'Pizza'!$H$5:$H$64,$B23,'Pizza'!$D$5:$D$64,J$5)))</f>
        <v/>
      </c>
      <c r="K23" s="13">
        <f>IF($B23="","",IF(COUNTIFS('Hamburger'!$H$5:$H$64,$B23,'Hamburger'!$D$5:$D$64,K$5,'Hamburger'!$G$5:$G$64,"&gt;0")=0,"–",SUMIFS('Hamburger'!$G$5:$G$64,'Hamburger'!$H$5:$H$64,$B23,'Hamburger'!$D$5:$D$64,K$5)))</f>
        <v/>
      </c>
      <c r="L23" s="13">
        <f>IF($B23="","",IF(COUNTIFS('Hamburger'!$H$5:$H$64,$B23,'Hamburger'!$D$5:$D$64,L$5,'Hamburger'!$G$5:$G$64,"&gt;0")=0,"–",SUMIFS('Hamburger'!$G$5:$G$64,'Hamburger'!$H$5:$H$64,$B23,'Hamburger'!$D$5:$D$64,L$5)))</f>
        <v/>
      </c>
    </row>
    <row r="24" ht="22" customHeight="1">
      <c r="B24" s="14" t="n"/>
      <c r="C24" s="12">
        <f>IF($B24="","",IF(COUNTIFS('Sushi'!$H$5:$H$102,$B24,'Sushi'!$D$5:$D$102,C$5,'Sushi'!$G$5:$G$102,"&gt;0")=0,"–",SUMIFS('Sushi'!$G$5:$G$102,'Sushi'!$H$5:$H$102,$B24,'Sushi'!$D$5:$D$102,C$5)))</f>
        <v/>
      </c>
      <c r="D24" s="12">
        <f>IF($B24="","",IF(COUNTIFS('Sushi'!$H$5:$H$102,$B24,'Sushi'!$D$5:$D$102,D$5,'Sushi'!$G$5:$G$102,"&gt;0")=0,"–",SUMIFS('Sushi'!$G$5:$G$102,'Sushi'!$H$5:$H$102,$B24,'Sushi'!$D$5:$D$102,D$5)))</f>
        <v/>
      </c>
      <c r="E24" s="12">
        <f>IF($B24="","",IF(COUNTIFS('Sushi'!$H$5:$H$102,$B24,'Sushi'!$D$5:$D$102,E$5,'Sushi'!$G$5:$G$102,"&gt;0")=0,"–",SUMIFS('Sushi'!$G$5:$G$102,'Sushi'!$H$5:$H$102,$B24,'Sushi'!$D$5:$D$102,E$5)))</f>
        <v/>
      </c>
      <c r="F24" s="12">
        <f>IF($B24="","",IF(COUNTIFS('Sushi'!$H$5:$H$102,$B24,'Sushi'!$D$5:$D$102,F$5,'Sushi'!$G$5:$G$102,"&gt;0")=0,"–",SUMIFS('Sushi'!$G$5:$G$102,'Sushi'!$H$5:$H$102,$B24,'Sushi'!$D$5:$D$102,F$5)))</f>
        <v/>
      </c>
      <c r="G24" s="12">
        <f>IF($B24="","",IF(COUNTIFS('Donut'!$H$5:$H$64,$B24,'Donut'!$D$5:$D$64,G$5,'Donut'!$G$5:$G$64,"&gt;0")=0,"–",SUMIFS('Donut'!$G$5:$G$64,'Donut'!$H$5:$H$64,$B24,'Donut'!$D$5:$D$64,G$5)))</f>
        <v/>
      </c>
      <c r="H24" s="12">
        <f>IF($B24="","",IF(COUNTIFS('Donut'!$H$5:$H$64,$B24,'Donut'!$D$5:$D$64,H$5,'Donut'!$G$5:$G$64,"&gt;0")=0,"–",SUMIFS('Donut'!$G$5:$G$64,'Donut'!$H$5:$H$64,$B24,'Donut'!$D$5:$D$64,H$5)))</f>
        <v/>
      </c>
      <c r="I24" s="12">
        <f>IF($B24="","",IF(COUNTIFS('Pizza'!$H$5:$H$64,$B24,'Pizza'!$D$5:$D$64,I$5,'Pizza'!$G$5:$G$64,"&gt;0")=0,"–",SUMIFS('Pizza'!$G$5:$G$64,'Pizza'!$H$5:$H$64,$B24,'Pizza'!$D$5:$D$64,I$5)))</f>
        <v/>
      </c>
      <c r="J24" s="12">
        <f>IF($B24="","",IF(COUNTIFS('Pizza'!$H$5:$H$64,$B24,'Pizza'!$D$5:$D$64,J$5,'Pizza'!$G$5:$G$64,"&gt;0")=0,"–",SUMIFS('Pizza'!$G$5:$G$64,'Pizza'!$H$5:$H$64,$B24,'Pizza'!$D$5:$D$64,J$5)))</f>
        <v/>
      </c>
      <c r="K24" s="12">
        <f>IF($B24="","",IF(COUNTIFS('Hamburger'!$H$5:$H$64,$B24,'Hamburger'!$D$5:$D$64,K$5,'Hamburger'!$G$5:$G$64,"&gt;0")=0,"–",SUMIFS('Hamburger'!$G$5:$G$64,'Hamburger'!$H$5:$H$64,$B24,'Hamburger'!$D$5:$D$64,K$5)))</f>
        <v/>
      </c>
      <c r="L24" s="12">
        <f>IF($B24="","",IF(COUNTIFS('Hamburger'!$H$5:$H$64,$B24,'Hamburger'!$D$5:$D$64,L$5,'Hamburger'!$G$5:$G$64,"&gt;0")=0,"–",SUMIFS('Hamburger'!$G$5:$G$64,'Hamburger'!$H$5:$H$64,$B24,'Hamburger'!$D$5:$D$64,L$5)))</f>
        <v/>
      </c>
    </row>
    <row r="25" ht="22" customHeight="1">
      <c r="B25" s="14" t="n"/>
      <c r="C25" s="13">
        <f>IF($B25="","",IF(COUNTIFS('Sushi'!$H$5:$H$102,$B25,'Sushi'!$D$5:$D$102,C$5,'Sushi'!$G$5:$G$102,"&gt;0")=0,"–",SUMIFS('Sushi'!$G$5:$G$102,'Sushi'!$H$5:$H$102,$B25,'Sushi'!$D$5:$D$102,C$5)))</f>
        <v/>
      </c>
      <c r="D25" s="13">
        <f>IF($B25="","",IF(COUNTIFS('Sushi'!$H$5:$H$102,$B25,'Sushi'!$D$5:$D$102,D$5,'Sushi'!$G$5:$G$102,"&gt;0")=0,"–",SUMIFS('Sushi'!$G$5:$G$102,'Sushi'!$H$5:$H$102,$B25,'Sushi'!$D$5:$D$102,D$5)))</f>
        <v/>
      </c>
      <c r="E25" s="13">
        <f>IF($B25="","",IF(COUNTIFS('Sushi'!$H$5:$H$102,$B25,'Sushi'!$D$5:$D$102,E$5,'Sushi'!$G$5:$G$102,"&gt;0")=0,"–",SUMIFS('Sushi'!$G$5:$G$102,'Sushi'!$H$5:$H$102,$B25,'Sushi'!$D$5:$D$102,E$5)))</f>
        <v/>
      </c>
      <c r="F25" s="13">
        <f>IF($B25="","",IF(COUNTIFS('Sushi'!$H$5:$H$102,$B25,'Sushi'!$D$5:$D$102,F$5,'Sushi'!$G$5:$G$102,"&gt;0")=0,"–",SUMIFS('Sushi'!$G$5:$G$102,'Sushi'!$H$5:$H$102,$B25,'Sushi'!$D$5:$D$102,F$5)))</f>
        <v/>
      </c>
      <c r="G25" s="13">
        <f>IF($B25="","",IF(COUNTIFS('Donut'!$H$5:$H$64,$B25,'Donut'!$D$5:$D$64,G$5,'Donut'!$G$5:$G$64,"&gt;0")=0,"–",SUMIFS('Donut'!$G$5:$G$64,'Donut'!$H$5:$H$64,$B25,'Donut'!$D$5:$D$64,G$5)))</f>
        <v/>
      </c>
      <c r="H25" s="13">
        <f>IF($B25="","",IF(COUNTIFS('Donut'!$H$5:$H$64,$B25,'Donut'!$D$5:$D$64,H$5,'Donut'!$G$5:$G$64,"&gt;0")=0,"–",SUMIFS('Donut'!$G$5:$G$64,'Donut'!$H$5:$H$64,$B25,'Donut'!$D$5:$D$64,H$5)))</f>
        <v/>
      </c>
      <c r="I25" s="13">
        <f>IF($B25="","",IF(COUNTIFS('Pizza'!$H$5:$H$64,$B25,'Pizza'!$D$5:$D$64,I$5,'Pizza'!$G$5:$G$64,"&gt;0")=0,"–",SUMIFS('Pizza'!$G$5:$G$64,'Pizza'!$H$5:$H$64,$B25,'Pizza'!$D$5:$D$64,I$5)))</f>
        <v/>
      </c>
      <c r="J25" s="13">
        <f>IF($B25="","",IF(COUNTIFS('Pizza'!$H$5:$H$64,$B25,'Pizza'!$D$5:$D$64,J$5,'Pizza'!$G$5:$G$64,"&gt;0")=0,"–",SUMIFS('Pizza'!$G$5:$G$64,'Pizza'!$H$5:$H$64,$B25,'Pizza'!$D$5:$D$64,J$5)))</f>
        <v/>
      </c>
      <c r="K25" s="13">
        <f>IF($B25="","",IF(COUNTIFS('Hamburger'!$H$5:$H$64,$B25,'Hamburger'!$D$5:$D$64,K$5,'Hamburger'!$G$5:$G$64,"&gt;0")=0,"–",SUMIFS('Hamburger'!$G$5:$G$64,'Hamburger'!$H$5:$H$64,$B25,'Hamburger'!$D$5:$D$64,K$5)))</f>
        <v/>
      </c>
      <c r="L25" s="13">
        <f>IF($B25="","",IF(COUNTIFS('Hamburger'!$H$5:$H$64,$B25,'Hamburger'!$D$5:$D$64,L$5,'Hamburger'!$G$5:$G$64,"&gt;0")=0,"–",SUMIFS('Hamburger'!$G$5:$G$64,'Hamburger'!$H$5:$H$64,$B25,'Hamburger'!$D$5:$D$64,L$5)))</f>
        <v/>
      </c>
    </row>
    <row r="26" ht="22" customHeight="1">
      <c r="B26" s="14" t="n"/>
      <c r="C26" s="12">
        <f>IF($B26="","",IF(COUNTIFS('Sushi'!$H$5:$H$102,$B26,'Sushi'!$D$5:$D$102,C$5,'Sushi'!$G$5:$G$102,"&gt;0")=0,"–",SUMIFS('Sushi'!$G$5:$G$102,'Sushi'!$H$5:$H$102,$B26,'Sushi'!$D$5:$D$102,C$5)))</f>
        <v/>
      </c>
      <c r="D26" s="12">
        <f>IF($B26="","",IF(COUNTIFS('Sushi'!$H$5:$H$102,$B26,'Sushi'!$D$5:$D$102,D$5,'Sushi'!$G$5:$G$102,"&gt;0")=0,"–",SUMIFS('Sushi'!$G$5:$G$102,'Sushi'!$H$5:$H$102,$B26,'Sushi'!$D$5:$D$102,D$5)))</f>
        <v/>
      </c>
      <c r="E26" s="12">
        <f>IF($B26="","",IF(COUNTIFS('Sushi'!$H$5:$H$102,$B26,'Sushi'!$D$5:$D$102,E$5,'Sushi'!$G$5:$G$102,"&gt;0")=0,"–",SUMIFS('Sushi'!$G$5:$G$102,'Sushi'!$H$5:$H$102,$B26,'Sushi'!$D$5:$D$102,E$5)))</f>
        <v/>
      </c>
      <c r="F26" s="12">
        <f>IF($B26="","",IF(COUNTIFS('Sushi'!$H$5:$H$102,$B26,'Sushi'!$D$5:$D$102,F$5,'Sushi'!$G$5:$G$102,"&gt;0")=0,"–",SUMIFS('Sushi'!$G$5:$G$102,'Sushi'!$H$5:$H$102,$B26,'Sushi'!$D$5:$D$102,F$5)))</f>
        <v/>
      </c>
      <c r="G26" s="12">
        <f>IF($B26="","",IF(COUNTIFS('Donut'!$H$5:$H$64,$B26,'Donut'!$D$5:$D$64,G$5,'Donut'!$G$5:$G$64,"&gt;0")=0,"–",SUMIFS('Donut'!$G$5:$G$64,'Donut'!$H$5:$H$64,$B26,'Donut'!$D$5:$D$64,G$5)))</f>
        <v/>
      </c>
      <c r="H26" s="12">
        <f>IF($B26="","",IF(COUNTIFS('Donut'!$H$5:$H$64,$B26,'Donut'!$D$5:$D$64,H$5,'Donut'!$G$5:$G$64,"&gt;0")=0,"–",SUMIFS('Donut'!$G$5:$G$64,'Donut'!$H$5:$H$64,$B26,'Donut'!$D$5:$D$64,H$5)))</f>
        <v/>
      </c>
      <c r="I26" s="12">
        <f>IF($B26="","",IF(COUNTIFS('Pizza'!$H$5:$H$64,$B26,'Pizza'!$D$5:$D$64,I$5,'Pizza'!$G$5:$G$64,"&gt;0")=0,"–",SUMIFS('Pizza'!$G$5:$G$64,'Pizza'!$H$5:$H$64,$B26,'Pizza'!$D$5:$D$64,I$5)))</f>
        <v/>
      </c>
      <c r="J26" s="12">
        <f>IF($B26="","",IF(COUNTIFS('Pizza'!$H$5:$H$64,$B26,'Pizza'!$D$5:$D$64,J$5,'Pizza'!$G$5:$G$64,"&gt;0")=0,"–",SUMIFS('Pizza'!$G$5:$G$64,'Pizza'!$H$5:$H$64,$B26,'Pizza'!$D$5:$D$64,J$5)))</f>
        <v/>
      </c>
      <c r="K26" s="12">
        <f>IF($B26="","",IF(COUNTIFS('Hamburger'!$H$5:$H$64,$B26,'Hamburger'!$D$5:$D$64,K$5,'Hamburger'!$G$5:$G$64,"&gt;0")=0,"–",SUMIFS('Hamburger'!$G$5:$G$64,'Hamburger'!$H$5:$H$64,$B26,'Hamburger'!$D$5:$D$64,K$5)))</f>
        <v/>
      </c>
      <c r="L26" s="12">
        <f>IF($B26="","",IF(COUNTIFS('Hamburger'!$H$5:$H$64,$B26,'Hamburger'!$D$5:$D$64,L$5,'Hamburger'!$G$5:$G$64,"&gt;0")=0,"–",SUMIFS('Hamburger'!$G$5:$G$64,'Hamburger'!$H$5:$H$64,$B26,'Hamburger'!$D$5:$D$64,L$5)))</f>
        <v/>
      </c>
    </row>
    <row r="27" ht="22" customHeight="1">
      <c r="B27" s="14" t="n"/>
      <c r="C27" s="13">
        <f>IF($B27="","",IF(COUNTIFS('Sushi'!$H$5:$H$102,$B27,'Sushi'!$D$5:$D$102,C$5,'Sushi'!$G$5:$G$102,"&gt;0")=0,"–",SUMIFS('Sushi'!$G$5:$G$102,'Sushi'!$H$5:$H$102,$B27,'Sushi'!$D$5:$D$102,C$5)))</f>
        <v/>
      </c>
      <c r="D27" s="13">
        <f>IF($B27="","",IF(COUNTIFS('Sushi'!$H$5:$H$102,$B27,'Sushi'!$D$5:$D$102,D$5,'Sushi'!$G$5:$G$102,"&gt;0")=0,"–",SUMIFS('Sushi'!$G$5:$G$102,'Sushi'!$H$5:$H$102,$B27,'Sushi'!$D$5:$D$102,D$5)))</f>
        <v/>
      </c>
      <c r="E27" s="13">
        <f>IF($B27="","",IF(COUNTIFS('Sushi'!$H$5:$H$102,$B27,'Sushi'!$D$5:$D$102,E$5,'Sushi'!$G$5:$G$102,"&gt;0")=0,"–",SUMIFS('Sushi'!$G$5:$G$102,'Sushi'!$H$5:$H$102,$B27,'Sushi'!$D$5:$D$102,E$5)))</f>
        <v/>
      </c>
      <c r="F27" s="13">
        <f>IF($B27="","",IF(COUNTIFS('Sushi'!$H$5:$H$102,$B27,'Sushi'!$D$5:$D$102,F$5,'Sushi'!$G$5:$G$102,"&gt;0")=0,"–",SUMIFS('Sushi'!$G$5:$G$102,'Sushi'!$H$5:$H$102,$B27,'Sushi'!$D$5:$D$102,F$5)))</f>
        <v/>
      </c>
      <c r="G27" s="13">
        <f>IF($B27="","",IF(COUNTIFS('Donut'!$H$5:$H$64,$B27,'Donut'!$D$5:$D$64,G$5,'Donut'!$G$5:$G$64,"&gt;0")=0,"–",SUMIFS('Donut'!$G$5:$G$64,'Donut'!$H$5:$H$64,$B27,'Donut'!$D$5:$D$64,G$5)))</f>
        <v/>
      </c>
      <c r="H27" s="13">
        <f>IF($B27="","",IF(COUNTIFS('Donut'!$H$5:$H$64,$B27,'Donut'!$D$5:$D$64,H$5,'Donut'!$G$5:$G$64,"&gt;0")=0,"–",SUMIFS('Donut'!$G$5:$G$64,'Donut'!$H$5:$H$64,$B27,'Donut'!$D$5:$D$64,H$5)))</f>
        <v/>
      </c>
      <c r="I27" s="13">
        <f>IF($B27="","",IF(COUNTIFS('Pizza'!$H$5:$H$64,$B27,'Pizza'!$D$5:$D$64,I$5,'Pizza'!$G$5:$G$64,"&gt;0")=0,"–",SUMIFS('Pizza'!$G$5:$G$64,'Pizza'!$H$5:$H$64,$B27,'Pizza'!$D$5:$D$64,I$5)))</f>
        <v/>
      </c>
      <c r="J27" s="13">
        <f>IF($B27="","",IF(COUNTIFS('Pizza'!$H$5:$H$64,$B27,'Pizza'!$D$5:$D$64,J$5,'Pizza'!$G$5:$G$64,"&gt;0")=0,"–",SUMIFS('Pizza'!$G$5:$G$64,'Pizza'!$H$5:$H$64,$B27,'Pizza'!$D$5:$D$64,J$5)))</f>
        <v/>
      </c>
      <c r="K27" s="13">
        <f>IF($B27="","",IF(COUNTIFS('Hamburger'!$H$5:$H$64,$B27,'Hamburger'!$D$5:$D$64,K$5,'Hamburger'!$G$5:$G$64,"&gt;0")=0,"–",SUMIFS('Hamburger'!$G$5:$G$64,'Hamburger'!$H$5:$H$64,$B27,'Hamburger'!$D$5:$D$64,K$5)))</f>
        <v/>
      </c>
      <c r="L27" s="13">
        <f>IF($B27="","",IF(COUNTIFS('Hamburger'!$H$5:$H$64,$B27,'Hamburger'!$D$5:$D$64,L$5,'Hamburger'!$G$5:$G$64,"&gt;0")=0,"–",SUMIFS('Hamburger'!$G$5:$G$64,'Hamburger'!$H$5:$H$64,$B27,'Hamburger'!$D$5:$D$64,L$5)))</f>
        <v/>
      </c>
    </row>
    <row r="28" ht="22" customHeight="1">
      <c r="B28" s="14" t="n"/>
      <c r="C28" s="12">
        <f>IF($B28="","",IF(COUNTIFS('Sushi'!$H$5:$H$102,$B28,'Sushi'!$D$5:$D$102,C$5,'Sushi'!$G$5:$G$102,"&gt;0")=0,"–",SUMIFS('Sushi'!$G$5:$G$102,'Sushi'!$H$5:$H$102,$B28,'Sushi'!$D$5:$D$102,C$5)))</f>
        <v/>
      </c>
      <c r="D28" s="12">
        <f>IF($B28="","",IF(COUNTIFS('Sushi'!$H$5:$H$102,$B28,'Sushi'!$D$5:$D$102,D$5,'Sushi'!$G$5:$G$102,"&gt;0")=0,"–",SUMIFS('Sushi'!$G$5:$G$102,'Sushi'!$H$5:$H$102,$B28,'Sushi'!$D$5:$D$102,D$5)))</f>
        <v/>
      </c>
      <c r="E28" s="12">
        <f>IF($B28="","",IF(COUNTIFS('Sushi'!$H$5:$H$102,$B28,'Sushi'!$D$5:$D$102,E$5,'Sushi'!$G$5:$G$102,"&gt;0")=0,"–",SUMIFS('Sushi'!$G$5:$G$102,'Sushi'!$H$5:$H$102,$B28,'Sushi'!$D$5:$D$102,E$5)))</f>
        <v/>
      </c>
      <c r="F28" s="12">
        <f>IF($B28="","",IF(COUNTIFS('Sushi'!$H$5:$H$102,$B28,'Sushi'!$D$5:$D$102,F$5,'Sushi'!$G$5:$G$102,"&gt;0")=0,"–",SUMIFS('Sushi'!$G$5:$G$102,'Sushi'!$H$5:$H$102,$B28,'Sushi'!$D$5:$D$102,F$5)))</f>
        <v/>
      </c>
      <c r="G28" s="12">
        <f>IF($B28="","",IF(COUNTIFS('Donut'!$H$5:$H$64,$B28,'Donut'!$D$5:$D$64,G$5,'Donut'!$G$5:$G$64,"&gt;0")=0,"–",SUMIFS('Donut'!$G$5:$G$64,'Donut'!$H$5:$H$64,$B28,'Donut'!$D$5:$D$64,G$5)))</f>
        <v/>
      </c>
      <c r="H28" s="12">
        <f>IF($B28="","",IF(COUNTIFS('Donut'!$H$5:$H$64,$B28,'Donut'!$D$5:$D$64,H$5,'Donut'!$G$5:$G$64,"&gt;0")=0,"–",SUMIFS('Donut'!$G$5:$G$64,'Donut'!$H$5:$H$64,$B28,'Donut'!$D$5:$D$64,H$5)))</f>
        <v/>
      </c>
      <c r="I28" s="12">
        <f>IF($B28="","",IF(COUNTIFS('Pizza'!$H$5:$H$64,$B28,'Pizza'!$D$5:$D$64,I$5,'Pizza'!$G$5:$G$64,"&gt;0")=0,"–",SUMIFS('Pizza'!$G$5:$G$64,'Pizza'!$H$5:$H$64,$B28,'Pizza'!$D$5:$D$64,I$5)))</f>
        <v/>
      </c>
      <c r="J28" s="12">
        <f>IF($B28="","",IF(COUNTIFS('Pizza'!$H$5:$H$64,$B28,'Pizza'!$D$5:$D$64,J$5,'Pizza'!$G$5:$G$64,"&gt;0")=0,"–",SUMIFS('Pizza'!$G$5:$G$64,'Pizza'!$H$5:$H$64,$B28,'Pizza'!$D$5:$D$64,J$5)))</f>
        <v/>
      </c>
      <c r="K28" s="12">
        <f>IF($B28="","",IF(COUNTIFS('Hamburger'!$H$5:$H$64,$B28,'Hamburger'!$D$5:$D$64,K$5,'Hamburger'!$G$5:$G$64,"&gt;0")=0,"–",SUMIFS('Hamburger'!$G$5:$G$64,'Hamburger'!$H$5:$H$64,$B28,'Hamburger'!$D$5:$D$64,K$5)))</f>
        <v/>
      </c>
      <c r="L28" s="12">
        <f>IF($B28="","",IF(COUNTIFS('Hamburger'!$H$5:$H$64,$B28,'Hamburger'!$D$5:$D$64,L$5,'Hamburger'!$G$5:$G$64,"&gt;0")=0,"–",SUMIFS('Hamburger'!$G$5:$G$64,'Hamburger'!$H$5:$H$64,$B28,'Hamburger'!$D$5:$D$64,L$5)))</f>
        <v/>
      </c>
    </row>
    <row r="29" ht="22" customHeight="1">
      <c r="B29" s="14" t="n"/>
      <c r="C29" s="13">
        <f>IF($B29="","",IF(COUNTIFS('Sushi'!$H$5:$H$102,$B29,'Sushi'!$D$5:$D$102,C$5,'Sushi'!$G$5:$G$102,"&gt;0")=0,"–",SUMIFS('Sushi'!$G$5:$G$102,'Sushi'!$H$5:$H$102,$B29,'Sushi'!$D$5:$D$102,C$5)))</f>
        <v/>
      </c>
      <c r="D29" s="13">
        <f>IF($B29="","",IF(COUNTIFS('Sushi'!$H$5:$H$102,$B29,'Sushi'!$D$5:$D$102,D$5,'Sushi'!$G$5:$G$102,"&gt;0")=0,"–",SUMIFS('Sushi'!$G$5:$G$102,'Sushi'!$H$5:$H$102,$B29,'Sushi'!$D$5:$D$102,D$5)))</f>
        <v/>
      </c>
      <c r="E29" s="13">
        <f>IF($B29="","",IF(COUNTIFS('Sushi'!$H$5:$H$102,$B29,'Sushi'!$D$5:$D$102,E$5,'Sushi'!$G$5:$G$102,"&gt;0")=0,"–",SUMIFS('Sushi'!$G$5:$G$102,'Sushi'!$H$5:$H$102,$B29,'Sushi'!$D$5:$D$102,E$5)))</f>
        <v/>
      </c>
      <c r="F29" s="13">
        <f>IF($B29="","",IF(COUNTIFS('Sushi'!$H$5:$H$102,$B29,'Sushi'!$D$5:$D$102,F$5,'Sushi'!$G$5:$G$102,"&gt;0")=0,"–",SUMIFS('Sushi'!$G$5:$G$102,'Sushi'!$H$5:$H$102,$B29,'Sushi'!$D$5:$D$102,F$5)))</f>
        <v/>
      </c>
      <c r="G29" s="13">
        <f>IF($B29="","",IF(COUNTIFS('Donut'!$H$5:$H$64,$B29,'Donut'!$D$5:$D$64,G$5,'Donut'!$G$5:$G$64,"&gt;0")=0,"–",SUMIFS('Donut'!$G$5:$G$64,'Donut'!$H$5:$H$64,$B29,'Donut'!$D$5:$D$64,G$5)))</f>
        <v/>
      </c>
      <c r="H29" s="13">
        <f>IF($B29="","",IF(COUNTIFS('Donut'!$H$5:$H$64,$B29,'Donut'!$D$5:$D$64,H$5,'Donut'!$G$5:$G$64,"&gt;0")=0,"–",SUMIFS('Donut'!$G$5:$G$64,'Donut'!$H$5:$H$64,$B29,'Donut'!$D$5:$D$64,H$5)))</f>
        <v/>
      </c>
      <c r="I29" s="13">
        <f>IF($B29="","",IF(COUNTIFS('Pizza'!$H$5:$H$64,$B29,'Pizza'!$D$5:$D$64,I$5,'Pizza'!$G$5:$G$64,"&gt;0")=0,"–",SUMIFS('Pizza'!$G$5:$G$64,'Pizza'!$H$5:$H$64,$B29,'Pizza'!$D$5:$D$64,I$5)))</f>
        <v/>
      </c>
      <c r="J29" s="13">
        <f>IF($B29="","",IF(COUNTIFS('Pizza'!$H$5:$H$64,$B29,'Pizza'!$D$5:$D$64,J$5,'Pizza'!$G$5:$G$64,"&gt;0")=0,"–",SUMIFS('Pizza'!$G$5:$G$64,'Pizza'!$H$5:$H$64,$B29,'Pizza'!$D$5:$D$64,J$5)))</f>
        <v/>
      </c>
      <c r="K29" s="13">
        <f>IF($B29="","",IF(COUNTIFS('Hamburger'!$H$5:$H$64,$B29,'Hamburger'!$D$5:$D$64,K$5,'Hamburger'!$G$5:$G$64,"&gt;0")=0,"–",SUMIFS('Hamburger'!$G$5:$G$64,'Hamburger'!$H$5:$H$64,$B29,'Hamburger'!$D$5:$D$64,K$5)))</f>
        <v/>
      </c>
      <c r="L29" s="13">
        <f>IF($B29="","",IF(COUNTIFS('Hamburger'!$H$5:$H$64,$B29,'Hamburger'!$D$5:$D$64,L$5,'Hamburger'!$G$5:$G$64,"&gt;0")=0,"–",SUMIFS('Hamburger'!$G$5:$G$64,'Hamburger'!$H$5:$H$64,$B29,'Hamburger'!$D$5:$D$64,L$5)))</f>
        <v/>
      </c>
    </row>
    <row r="30" ht="22" customHeight="1">
      <c r="B30" s="14" t="n"/>
      <c r="C30" s="12">
        <f>IF($B30="","",IF(COUNTIFS('Sushi'!$H$5:$H$102,$B30,'Sushi'!$D$5:$D$102,C$5,'Sushi'!$G$5:$G$102,"&gt;0")=0,"–",SUMIFS('Sushi'!$G$5:$G$102,'Sushi'!$H$5:$H$102,$B30,'Sushi'!$D$5:$D$102,C$5)))</f>
        <v/>
      </c>
      <c r="D30" s="12">
        <f>IF($B30="","",IF(COUNTIFS('Sushi'!$H$5:$H$102,$B30,'Sushi'!$D$5:$D$102,D$5,'Sushi'!$G$5:$G$102,"&gt;0")=0,"–",SUMIFS('Sushi'!$G$5:$G$102,'Sushi'!$H$5:$H$102,$B30,'Sushi'!$D$5:$D$102,D$5)))</f>
        <v/>
      </c>
      <c r="E30" s="12">
        <f>IF($B30="","",IF(COUNTIFS('Sushi'!$H$5:$H$102,$B30,'Sushi'!$D$5:$D$102,E$5,'Sushi'!$G$5:$G$102,"&gt;0")=0,"–",SUMIFS('Sushi'!$G$5:$G$102,'Sushi'!$H$5:$H$102,$B30,'Sushi'!$D$5:$D$102,E$5)))</f>
        <v/>
      </c>
      <c r="F30" s="12">
        <f>IF($B30="","",IF(COUNTIFS('Sushi'!$H$5:$H$102,$B30,'Sushi'!$D$5:$D$102,F$5,'Sushi'!$G$5:$G$102,"&gt;0")=0,"–",SUMIFS('Sushi'!$G$5:$G$102,'Sushi'!$H$5:$H$102,$B30,'Sushi'!$D$5:$D$102,F$5)))</f>
        <v/>
      </c>
      <c r="G30" s="12">
        <f>IF($B30="","",IF(COUNTIFS('Donut'!$H$5:$H$64,$B30,'Donut'!$D$5:$D$64,G$5,'Donut'!$G$5:$G$64,"&gt;0")=0,"–",SUMIFS('Donut'!$G$5:$G$64,'Donut'!$H$5:$H$64,$B30,'Donut'!$D$5:$D$64,G$5)))</f>
        <v/>
      </c>
      <c r="H30" s="12">
        <f>IF($B30="","",IF(COUNTIFS('Donut'!$H$5:$H$64,$B30,'Donut'!$D$5:$D$64,H$5,'Donut'!$G$5:$G$64,"&gt;0")=0,"–",SUMIFS('Donut'!$G$5:$G$64,'Donut'!$H$5:$H$64,$B30,'Donut'!$D$5:$D$64,H$5)))</f>
        <v/>
      </c>
      <c r="I30" s="12">
        <f>IF($B30="","",IF(COUNTIFS('Pizza'!$H$5:$H$64,$B30,'Pizza'!$D$5:$D$64,I$5,'Pizza'!$G$5:$G$64,"&gt;0")=0,"–",SUMIFS('Pizza'!$G$5:$G$64,'Pizza'!$H$5:$H$64,$B30,'Pizza'!$D$5:$D$64,I$5)))</f>
        <v/>
      </c>
      <c r="J30" s="12">
        <f>IF($B30="","",IF(COUNTIFS('Pizza'!$H$5:$H$64,$B30,'Pizza'!$D$5:$D$64,J$5,'Pizza'!$G$5:$G$64,"&gt;0")=0,"–",SUMIFS('Pizza'!$G$5:$G$64,'Pizza'!$H$5:$H$64,$B30,'Pizza'!$D$5:$D$64,J$5)))</f>
        <v/>
      </c>
      <c r="K30" s="12">
        <f>IF($B30="","",IF(COUNTIFS('Hamburger'!$H$5:$H$64,$B30,'Hamburger'!$D$5:$D$64,K$5,'Hamburger'!$G$5:$G$64,"&gt;0")=0,"–",SUMIFS('Hamburger'!$G$5:$G$64,'Hamburger'!$H$5:$H$64,$B30,'Hamburger'!$D$5:$D$64,K$5)))</f>
        <v/>
      </c>
      <c r="L30" s="12">
        <f>IF($B30="","",IF(COUNTIFS('Hamburger'!$H$5:$H$64,$B30,'Hamburger'!$D$5:$D$64,L$5,'Hamburger'!$G$5:$G$64,"&gt;0")=0,"–",SUMIFS('Hamburger'!$G$5:$G$64,'Hamburger'!$H$5:$H$64,$B30,'Hamburger'!$D$5:$D$64,L$5)))</f>
        <v/>
      </c>
    </row>
    <row r="31" ht="22" customHeight="1">
      <c r="B31" s="14" t="n"/>
      <c r="C31" s="13">
        <f>IF($B31="","",IF(COUNTIFS('Sushi'!$H$5:$H$102,$B31,'Sushi'!$D$5:$D$102,C$5,'Sushi'!$G$5:$G$102,"&gt;0")=0,"–",SUMIFS('Sushi'!$G$5:$G$102,'Sushi'!$H$5:$H$102,$B31,'Sushi'!$D$5:$D$102,C$5)))</f>
        <v/>
      </c>
      <c r="D31" s="13">
        <f>IF($B31="","",IF(COUNTIFS('Sushi'!$H$5:$H$102,$B31,'Sushi'!$D$5:$D$102,D$5,'Sushi'!$G$5:$G$102,"&gt;0")=0,"–",SUMIFS('Sushi'!$G$5:$G$102,'Sushi'!$H$5:$H$102,$B31,'Sushi'!$D$5:$D$102,D$5)))</f>
        <v/>
      </c>
      <c r="E31" s="13">
        <f>IF($B31="","",IF(COUNTIFS('Sushi'!$H$5:$H$102,$B31,'Sushi'!$D$5:$D$102,E$5,'Sushi'!$G$5:$G$102,"&gt;0")=0,"–",SUMIFS('Sushi'!$G$5:$G$102,'Sushi'!$H$5:$H$102,$B31,'Sushi'!$D$5:$D$102,E$5)))</f>
        <v/>
      </c>
      <c r="F31" s="13">
        <f>IF($B31="","",IF(COUNTIFS('Sushi'!$H$5:$H$102,$B31,'Sushi'!$D$5:$D$102,F$5,'Sushi'!$G$5:$G$102,"&gt;0")=0,"–",SUMIFS('Sushi'!$G$5:$G$102,'Sushi'!$H$5:$H$102,$B31,'Sushi'!$D$5:$D$102,F$5)))</f>
        <v/>
      </c>
      <c r="G31" s="13">
        <f>IF($B31="","",IF(COUNTIFS('Donut'!$H$5:$H$64,$B31,'Donut'!$D$5:$D$64,G$5,'Donut'!$G$5:$G$64,"&gt;0")=0,"–",SUMIFS('Donut'!$G$5:$G$64,'Donut'!$H$5:$H$64,$B31,'Donut'!$D$5:$D$64,G$5)))</f>
        <v/>
      </c>
      <c r="H31" s="13">
        <f>IF($B31="","",IF(COUNTIFS('Donut'!$H$5:$H$64,$B31,'Donut'!$D$5:$D$64,H$5,'Donut'!$G$5:$G$64,"&gt;0")=0,"–",SUMIFS('Donut'!$G$5:$G$64,'Donut'!$H$5:$H$64,$B31,'Donut'!$D$5:$D$64,H$5)))</f>
        <v/>
      </c>
      <c r="I31" s="13">
        <f>IF($B31="","",IF(COUNTIFS('Pizza'!$H$5:$H$64,$B31,'Pizza'!$D$5:$D$64,I$5,'Pizza'!$G$5:$G$64,"&gt;0")=0,"–",SUMIFS('Pizza'!$G$5:$G$64,'Pizza'!$H$5:$H$64,$B31,'Pizza'!$D$5:$D$64,I$5)))</f>
        <v/>
      </c>
      <c r="J31" s="13">
        <f>IF($B31="","",IF(COUNTIFS('Pizza'!$H$5:$H$64,$B31,'Pizza'!$D$5:$D$64,J$5,'Pizza'!$G$5:$G$64,"&gt;0")=0,"–",SUMIFS('Pizza'!$G$5:$G$64,'Pizza'!$H$5:$H$64,$B31,'Pizza'!$D$5:$D$64,J$5)))</f>
        <v/>
      </c>
      <c r="K31" s="13">
        <f>IF($B31="","",IF(COUNTIFS('Hamburger'!$H$5:$H$64,$B31,'Hamburger'!$D$5:$D$64,K$5,'Hamburger'!$G$5:$G$64,"&gt;0")=0,"–",SUMIFS('Hamburger'!$G$5:$G$64,'Hamburger'!$H$5:$H$64,$B31,'Hamburger'!$D$5:$D$64,K$5)))</f>
        <v/>
      </c>
      <c r="L31" s="13">
        <f>IF($B31="","",IF(COUNTIFS('Hamburger'!$H$5:$H$64,$B31,'Hamburger'!$D$5:$D$64,L$5,'Hamburger'!$G$5:$G$64,"&gt;0")=0,"–",SUMIFS('Hamburger'!$G$5:$G$64,'Hamburger'!$H$5:$H$64,$B31,'Hamburger'!$D$5:$D$64,L$5)))</f>
        <v/>
      </c>
    </row>
    <row r="32" ht="22" customHeight="1">
      <c r="B32" s="14" t="n"/>
      <c r="C32" s="12">
        <f>IF($B32="","",IF(COUNTIFS('Sushi'!$H$5:$H$102,$B32,'Sushi'!$D$5:$D$102,C$5,'Sushi'!$G$5:$G$102,"&gt;0")=0,"–",SUMIFS('Sushi'!$G$5:$G$102,'Sushi'!$H$5:$H$102,$B32,'Sushi'!$D$5:$D$102,C$5)))</f>
        <v/>
      </c>
      <c r="D32" s="12">
        <f>IF($B32="","",IF(COUNTIFS('Sushi'!$H$5:$H$102,$B32,'Sushi'!$D$5:$D$102,D$5,'Sushi'!$G$5:$G$102,"&gt;0")=0,"–",SUMIFS('Sushi'!$G$5:$G$102,'Sushi'!$H$5:$H$102,$B32,'Sushi'!$D$5:$D$102,D$5)))</f>
        <v/>
      </c>
      <c r="E32" s="12">
        <f>IF($B32="","",IF(COUNTIFS('Sushi'!$H$5:$H$102,$B32,'Sushi'!$D$5:$D$102,E$5,'Sushi'!$G$5:$G$102,"&gt;0")=0,"–",SUMIFS('Sushi'!$G$5:$G$102,'Sushi'!$H$5:$H$102,$B32,'Sushi'!$D$5:$D$102,E$5)))</f>
        <v/>
      </c>
      <c r="F32" s="12">
        <f>IF($B32="","",IF(COUNTIFS('Sushi'!$H$5:$H$102,$B32,'Sushi'!$D$5:$D$102,F$5,'Sushi'!$G$5:$G$102,"&gt;0")=0,"–",SUMIFS('Sushi'!$G$5:$G$102,'Sushi'!$H$5:$H$102,$B32,'Sushi'!$D$5:$D$102,F$5)))</f>
        <v/>
      </c>
      <c r="G32" s="12">
        <f>IF($B32="","",IF(COUNTIFS('Donut'!$H$5:$H$64,$B32,'Donut'!$D$5:$D$64,G$5,'Donut'!$G$5:$G$64,"&gt;0")=0,"–",SUMIFS('Donut'!$G$5:$G$64,'Donut'!$H$5:$H$64,$B32,'Donut'!$D$5:$D$64,G$5)))</f>
        <v/>
      </c>
      <c r="H32" s="12">
        <f>IF($B32="","",IF(COUNTIFS('Donut'!$H$5:$H$64,$B32,'Donut'!$D$5:$D$64,H$5,'Donut'!$G$5:$G$64,"&gt;0")=0,"–",SUMIFS('Donut'!$G$5:$G$64,'Donut'!$H$5:$H$64,$B32,'Donut'!$D$5:$D$64,H$5)))</f>
        <v/>
      </c>
      <c r="I32" s="12">
        <f>IF($B32="","",IF(COUNTIFS('Pizza'!$H$5:$H$64,$B32,'Pizza'!$D$5:$D$64,I$5,'Pizza'!$G$5:$G$64,"&gt;0")=0,"–",SUMIFS('Pizza'!$G$5:$G$64,'Pizza'!$H$5:$H$64,$B32,'Pizza'!$D$5:$D$64,I$5)))</f>
        <v/>
      </c>
      <c r="J32" s="12">
        <f>IF($B32="","",IF(COUNTIFS('Pizza'!$H$5:$H$64,$B32,'Pizza'!$D$5:$D$64,J$5,'Pizza'!$G$5:$G$64,"&gt;0")=0,"–",SUMIFS('Pizza'!$G$5:$G$64,'Pizza'!$H$5:$H$64,$B32,'Pizza'!$D$5:$D$64,J$5)))</f>
        <v/>
      </c>
      <c r="K32" s="12">
        <f>IF($B32="","",IF(COUNTIFS('Hamburger'!$H$5:$H$64,$B32,'Hamburger'!$D$5:$D$64,K$5,'Hamburger'!$G$5:$G$64,"&gt;0")=0,"–",SUMIFS('Hamburger'!$G$5:$G$64,'Hamburger'!$H$5:$H$64,$B32,'Hamburger'!$D$5:$D$64,K$5)))</f>
        <v/>
      </c>
      <c r="L32" s="12">
        <f>IF($B32="","",IF(COUNTIFS('Hamburger'!$H$5:$H$64,$B32,'Hamburger'!$D$5:$D$64,L$5,'Hamburger'!$G$5:$G$64,"&gt;0")=0,"–",SUMIFS('Hamburger'!$G$5:$G$64,'Hamburger'!$H$5:$H$64,$B32,'Hamburger'!$D$5:$D$64,L$5)))</f>
        <v/>
      </c>
    </row>
    <row r="33" ht="22" customHeight="1">
      <c r="B33" s="14" t="n"/>
      <c r="C33" s="13">
        <f>IF($B33="","",IF(COUNTIFS('Sushi'!$H$5:$H$102,$B33,'Sushi'!$D$5:$D$102,C$5,'Sushi'!$G$5:$G$102,"&gt;0")=0,"–",SUMIFS('Sushi'!$G$5:$G$102,'Sushi'!$H$5:$H$102,$B33,'Sushi'!$D$5:$D$102,C$5)))</f>
        <v/>
      </c>
      <c r="D33" s="13">
        <f>IF($B33="","",IF(COUNTIFS('Sushi'!$H$5:$H$102,$B33,'Sushi'!$D$5:$D$102,D$5,'Sushi'!$G$5:$G$102,"&gt;0")=0,"–",SUMIFS('Sushi'!$G$5:$G$102,'Sushi'!$H$5:$H$102,$B33,'Sushi'!$D$5:$D$102,D$5)))</f>
        <v/>
      </c>
      <c r="E33" s="13">
        <f>IF($B33="","",IF(COUNTIFS('Sushi'!$H$5:$H$102,$B33,'Sushi'!$D$5:$D$102,E$5,'Sushi'!$G$5:$G$102,"&gt;0")=0,"–",SUMIFS('Sushi'!$G$5:$G$102,'Sushi'!$H$5:$H$102,$B33,'Sushi'!$D$5:$D$102,E$5)))</f>
        <v/>
      </c>
      <c r="F33" s="13">
        <f>IF($B33="","",IF(COUNTIFS('Sushi'!$H$5:$H$102,$B33,'Sushi'!$D$5:$D$102,F$5,'Sushi'!$G$5:$G$102,"&gt;0")=0,"–",SUMIFS('Sushi'!$G$5:$G$102,'Sushi'!$H$5:$H$102,$B33,'Sushi'!$D$5:$D$102,F$5)))</f>
        <v/>
      </c>
      <c r="G33" s="13">
        <f>IF($B33="","",IF(COUNTIFS('Donut'!$H$5:$H$64,$B33,'Donut'!$D$5:$D$64,G$5,'Donut'!$G$5:$G$64,"&gt;0")=0,"–",SUMIFS('Donut'!$G$5:$G$64,'Donut'!$H$5:$H$64,$B33,'Donut'!$D$5:$D$64,G$5)))</f>
        <v/>
      </c>
      <c r="H33" s="13">
        <f>IF($B33="","",IF(COUNTIFS('Donut'!$H$5:$H$64,$B33,'Donut'!$D$5:$D$64,H$5,'Donut'!$G$5:$G$64,"&gt;0")=0,"–",SUMIFS('Donut'!$G$5:$G$64,'Donut'!$H$5:$H$64,$B33,'Donut'!$D$5:$D$64,H$5)))</f>
        <v/>
      </c>
      <c r="I33" s="13">
        <f>IF($B33="","",IF(COUNTIFS('Pizza'!$H$5:$H$64,$B33,'Pizza'!$D$5:$D$64,I$5,'Pizza'!$G$5:$G$64,"&gt;0")=0,"–",SUMIFS('Pizza'!$G$5:$G$64,'Pizza'!$H$5:$H$64,$B33,'Pizza'!$D$5:$D$64,I$5)))</f>
        <v/>
      </c>
      <c r="J33" s="13">
        <f>IF($B33="","",IF(COUNTIFS('Pizza'!$H$5:$H$64,$B33,'Pizza'!$D$5:$D$64,J$5,'Pizza'!$G$5:$G$64,"&gt;0")=0,"–",SUMIFS('Pizza'!$G$5:$G$64,'Pizza'!$H$5:$H$64,$B33,'Pizza'!$D$5:$D$64,J$5)))</f>
        <v/>
      </c>
      <c r="K33" s="13">
        <f>IF($B33="","",IF(COUNTIFS('Hamburger'!$H$5:$H$64,$B33,'Hamburger'!$D$5:$D$64,K$5,'Hamburger'!$G$5:$G$64,"&gt;0")=0,"–",SUMIFS('Hamburger'!$G$5:$G$64,'Hamburger'!$H$5:$H$64,$B33,'Hamburger'!$D$5:$D$64,K$5)))</f>
        <v/>
      </c>
      <c r="L33" s="13">
        <f>IF($B33="","",IF(COUNTIFS('Hamburger'!$H$5:$H$64,$B33,'Hamburger'!$D$5:$D$64,L$5,'Hamburger'!$G$5:$G$64,"&gt;0")=0,"–",SUMIFS('Hamburger'!$G$5:$G$64,'Hamburger'!$H$5:$H$64,$B33,'Hamburger'!$D$5:$D$64,L$5)))</f>
        <v/>
      </c>
    </row>
    <row r="34" ht="22" customHeight="1">
      <c r="B34" s="14" t="n"/>
      <c r="C34" s="12">
        <f>IF($B34="","",IF(COUNTIFS('Sushi'!$H$5:$H$102,$B34,'Sushi'!$D$5:$D$102,C$5,'Sushi'!$G$5:$G$102,"&gt;0")=0,"–",SUMIFS('Sushi'!$G$5:$G$102,'Sushi'!$H$5:$H$102,$B34,'Sushi'!$D$5:$D$102,C$5)))</f>
        <v/>
      </c>
      <c r="D34" s="12">
        <f>IF($B34="","",IF(COUNTIFS('Sushi'!$H$5:$H$102,$B34,'Sushi'!$D$5:$D$102,D$5,'Sushi'!$G$5:$G$102,"&gt;0")=0,"–",SUMIFS('Sushi'!$G$5:$G$102,'Sushi'!$H$5:$H$102,$B34,'Sushi'!$D$5:$D$102,D$5)))</f>
        <v/>
      </c>
      <c r="E34" s="12">
        <f>IF($B34="","",IF(COUNTIFS('Sushi'!$H$5:$H$102,$B34,'Sushi'!$D$5:$D$102,E$5,'Sushi'!$G$5:$G$102,"&gt;0")=0,"–",SUMIFS('Sushi'!$G$5:$G$102,'Sushi'!$H$5:$H$102,$B34,'Sushi'!$D$5:$D$102,E$5)))</f>
        <v/>
      </c>
      <c r="F34" s="12">
        <f>IF($B34="","",IF(COUNTIFS('Sushi'!$H$5:$H$102,$B34,'Sushi'!$D$5:$D$102,F$5,'Sushi'!$G$5:$G$102,"&gt;0")=0,"–",SUMIFS('Sushi'!$G$5:$G$102,'Sushi'!$H$5:$H$102,$B34,'Sushi'!$D$5:$D$102,F$5)))</f>
        <v/>
      </c>
      <c r="G34" s="12">
        <f>IF($B34="","",IF(COUNTIFS('Donut'!$H$5:$H$64,$B34,'Donut'!$D$5:$D$64,G$5,'Donut'!$G$5:$G$64,"&gt;0")=0,"–",SUMIFS('Donut'!$G$5:$G$64,'Donut'!$H$5:$H$64,$B34,'Donut'!$D$5:$D$64,G$5)))</f>
        <v/>
      </c>
      <c r="H34" s="12">
        <f>IF($B34="","",IF(COUNTIFS('Donut'!$H$5:$H$64,$B34,'Donut'!$D$5:$D$64,H$5,'Donut'!$G$5:$G$64,"&gt;0")=0,"–",SUMIFS('Donut'!$G$5:$G$64,'Donut'!$H$5:$H$64,$B34,'Donut'!$D$5:$D$64,H$5)))</f>
        <v/>
      </c>
      <c r="I34" s="12">
        <f>IF($B34="","",IF(COUNTIFS('Pizza'!$H$5:$H$64,$B34,'Pizza'!$D$5:$D$64,I$5,'Pizza'!$G$5:$G$64,"&gt;0")=0,"–",SUMIFS('Pizza'!$G$5:$G$64,'Pizza'!$H$5:$H$64,$B34,'Pizza'!$D$5:$D$64,I$5)))</f>
        <v/>
      </c>
      <c r="J34" s="12">
        <f>IF($B34="","",IF(COUNTIFS('Pizza'!$H$5:$H$64,$B34,'Pizza'!$D$5:$D$64,J$5,'Pizza'!$G$5:$G$64,"&gt;0")=0,"–",SUMIFS('Pizza'!$G$5:$G$64,'Pizza'!$H$5:$H$64,$B34,'Pizza'!$D$5:$D$64,J$5)))</f>
        <v/>
      </c>
      <c r="K34" s="12">
        <f>IF($B34="","",IF(COUNTIFS('Hamburger'!$H$5:$H$64,$B34,'Hamburger'!$D$5:$D$64,K$5,'Hamburger'!$G$5:$G$64,"&gt;0")=0,"–",SUMIFS('Hamburger'!$G$5:$G$64,'Hamburger'!$H$5:$H$64,$B34,'Hamburger'!$D$5:$D$64,K$5)))</f>
        <v/>
      </c>
      <c r="L34" s="12">
        <f>IF($B34="","",IF(COUNTIFS('Hamburger'!$H$5:$H$64,$B34,'Hamburger'!$D$5:$D$64,L$5,'Hamburger'!$G$5:$G$64,"&gt;0")=0,"–",SUMIFS('Hamburger'!$G$5:$G$64,'Hamburger'!$H$5:$H$64,$B34,'Hamburger'!$D$5:$D$64,L$5)))</f>
        <v/>
      </c>
    </row>
    <row r="36">
      <c r="B36" s="15" t="inlineStr">
        <is>
          <t>SÅ LÄGGER DU TILL ETT NYTT LAND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 ht="20" customHeight="1">
      <c r="B37" s="16" t="inlineStr">
        <is>
          <t>1. Gå till produktens flik (Sushi, Donut, Pizza eller Hamburger) och scrolla ner till de grå raderna under ➕ NEW COUNTRIES.</t>
        </is>
      </c>
    </row>
    <row r="38" ht="20" customHeight="1">
      <c r="B38" s="16" t="inlineStr">
        <is>
          <t>2. Skriv landet i den grå rutan under Country, t.ex. Germany.</t>
        </is>
      </c>
    </row>
    <row r="39" ht="20" customHeight="1">
      <c r="B39" s="16" t="inlineStr">
        <is>
          <t>3. Skriv COST och SHIPPING FEE ur leverantörens offert. PRICE räknas själv. Skriver leverantören ett annat pris: skriv över PRICE.</t>
        </is>
      </c>
    </row>
    <row r="40" ht="20" customHeight="1">
      <c r="B40" s="16" t="inlineStr">
        <is>
          <t>4. Skriv samma landsnamn i en grå rad här i Overview (kolumn B). Hela raden fylls i av sig själv. Stava exakt likadant.</t>
        </is>
      </c>
    </row>
    <row r="41" ht="20" customHeight="1">
      <c r="B41" s="16" t="inlineStr">
        <is>
          <t>Blå siffror = leverantörens offert. Kommentar på en pris-ruta = leverantörens pris skiljer 0,1 från kostnad + frakt (deras avrundning).</t>
        </is>
      </c>
    </row>
  </sheetData>
  <mergeCells count="13">
    <mergeCell ref="G4:H4"/>
    <mergeCell ref="I4:J4"/>
    <mergeCell ref="B4:B5"/>
    <mergeCell ref="B38:L38"/>
    <mergeCell ref="C4:F4"/>
    <mergeCell ref="B39:L39"/>
    <mergeCell ref="B2:L2"/>
    <mergeCell ref="B37:L37"/>
    <mergeCell ref="B36:L36"/>
    <mergeCell ref="K4:L4"/>
    <mergeCell ref="B40:L40"/>
    <mergeCell ref="B41:L41"/>
    <mergeCell ref="B1:L1"/>
  </mergeCells>
  <conditionalFormatting sqref="C6:L34">
    <cfRule type="expression" priority="1" dxfId="0">
      <formula>C6="–"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 fitToPage="1"/>
  </sheetPr>
  <dimension ref="B1:H10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0" customWidth="1" min="4" max="4"/>
    <col width="13" customWidth="1" min="5" max="5"/>
    <col width="18" customWidth="1" min="6" max="6"/>
    <col width="15" customWidth="1" min="7" max="7"/>
    <col hidden="1" width="12" customWidth="1" min="8" max="8"/>
  </cols>
  <sheetData>
    <row r="1" ht="38" customHeight="1">
      <c r="B1" s="1" t="inlineStr">
        <is>
          <t>SUSHI SOCKS — COGS per country</t>
        </is>
      </c>
      <c r="C1" s="2" t="n"/>
      <c r="D1" s="2" t="n"/>
      <c r="E1" s="2" t="n"/>
      <c r="F1" s="2" t="n"/>
      <c r="G1" s="2" t="n"/>
    </row>
    <row r="2" ht="20" customHeight="1">
      <c r="B2" s="3" t="inlineStr">
        <is>
          <t>Supplier quote, read 2026-09-29. All amounts in USD per order. Blue numbers = supplier quote. Grey rows at the bottom = add a new country.</t>
        </is>
      </c>
    </row>
    <row r="4" ht="34" customHeight="1">
      <c r="B4" s="4" t="inlineStr">
        <is>
          <t>Picture</t>
        </is>
      </c>
      <c r="C4" s="4" t="inlineStr">
        <is>
          <t>Country</t>
        </is>
      </c>
      <c r="D4" s="4" t="inlineStr">
        <is>
          <t>Quantity</t>
        </is>
      </c>
      <c r="E4" s="4" t="inlineStr">
        <is>
          <t>COST ($)</t>
        </is>
      </c>
      <c r="F4" s="4" t="inlineStr">
        <is>
          <t>SHIPPING FEE ($)</t>
        </is>
      </c>
      <c r="G4" s="17" t="inlineStr">
        <is>
          <t>PRICE ($)</t>
        </is>
      </c>
    </row>
    <row r="5" ht="24" customHeight="1">
      <c r="B5" s="18" t="n"/>
      <c r="C5" s="19" t="inlineStr">
        <is>
          <t>Sweden</t>
        </is>
      </c>
      <c r="D5" s="18" t="inlineStr">
        <is>
          <t>1 set (3 pairs)</t>
        </is>
      </c>
      <c r="E5" s="20" t="n">
        <v>1.7</v>
      </c>
      <c r="F5" s="21" t="n">
        <v>5.2</v>
      </c>
      <c r="G5" s="22" t="n">
        <v>6.9</v>
      </c>
      <c r="H5" s="23">
        <f>$C$5</f>
        <v/>
      </c>
    </row>
    <row r="6" ht="24" customHeight="1">
      <c r="C6" s="24" t="n"/>
      <c r="D6" s="18" t="inlineStr">
        <is>
          <t>2 sets (3 pairs)</t>
        </is>
      </c>
      <c r="E6" s="20" t="n">
        <v>3.4</v>
      </c>
      <c r="F6" s="21" t="n">
        <v>7</v>
      </c>
      <c r="G6" s="22" t="n">
        <v>10.4</v>
      </c>
      <c r="H6" s="23">
        <f>$C$5</f>
        <v/>
      </c>
    </row>
    <row r="7" ht="24" customHeight="1">
      <c r="C7" s="24" t="n"/>
      <c r="D7" s="18" t="inlineStr">
        <is>
          <t>1 set (5 pairs)</t>
        </is>
      </c>
      <c r="E7" s="20" t="n">
        <v>2.6</v>
      </c>
      <c r="F7" s="21" t="n">
        <v>5.6</v>
      </c>
      <c r="G7" s="22" t="n">
        <v>8.199999999999999</v>
      </c>
      <c r="H7" s="23">
        <f>$C$5</f>
        <v/>
      </c>
    </row>
    <row r="8" ht="24" customHeight="1">
      <c r="C8" s="25" t="n"/>
      <c r="D8" s="26" t="inlineStr">
        <is>
          <t>2 sets (5 pairs)</t>
        </is>
      </c>
      <c r="E8" s="27" t="n">
        <v>5.2</v>
      </c>
      <c r="F8" s="28" t="n">
        <v>7.1</v>
      </c>
      <c r="G8" s="29" t="n">
        <v>12.3</v>
      </c>
      <c r="H8" s="23">
        <f>$C$5</f>
        <v/>
      </c>
    </row>
    <row r="9" ht="24" customHeight="1">
      <c r="C9" s="19" t="inlineStr">
        <is>
          <t>Norway</t>
        </is>
      </c>
      <c r="D9" s="18" t="inlineStr">
        <is>
          <t>1 set (3 pairs)</t>
        </is>
      </c>
      <c r="E9" s="20" t="n">
        <v>1.7</v>
      </c>
      <c r="F9" s="21" t="n">
        <v>6.3</v>
      </c>
      <c r="G9" s="22" t="n">
        <v>8</v>
      </c>
      <c r="H9" s="23">
        <f>$C$9</f>
        <v/>
      </c>
    </row>
    <row r="10" ht="24" customHeight="1">
      <c r="C10" s="24" t="n"/>
      <c r="D10" s="18" t="inlineStr">
        <is>
          <t>2 sets (3 pairs)</t>
        </is>
      </c>
      <c r="E10" s="20" t="n">
        <v>3.4</v>
      </c>
      <c r="F10" s="21" t="n">
        <v>7.9</v>
      </c>
      <c r="G10" s="22" t="n">
        <v>11.3</v>
      </c>
      <c r="H10" s="23">
        <f>$C$9</f>
        <v/>
      </c>
    </row>
    <row r="11" ht="24" customHeight="1">
      <c r="C11" s="24" t="n"/>
      <c r="D11" s="18" t="inlineStr">
        <is>
          <t>1 set (5 pairs)</t>
        </is>
      </c>
      <c r="E11" s="20" t="n">
        <v>2.6</v>
      </c>
      <c r="F11" s="21" t="n">
        <v>6.8</v>
      </c>
      <c r="G11" s="22" t="n">
        <v>9.4</v>
      </c>
      <c r="H11" s="23">
        <f>$C$9</f>
        <v/>
      </c>
    </row>
    <row r="12" ht="24" customHeight="1">
      <c r="C12" s="25" t="n"/>
      <c r="D12" s="26" t="inlineStr">
        <is>
          <t>2 sets (5 pairs)</t>
        </is>
      </c>
      <c r="E12" s="27" t="n">
        <v>5.2</v>
      </c>
      <c r="F12" s="28" t="n">
        <v>8.5</v>
      </c>
      <c r="G12" s="29" t="n">
        <v>13.7</v>
      </c>
      <c r="H12" s="23">
        <f>$C$9</f>
        <v/>
      </c>
    </row>
    <row r="13" ht="24" customHeight="1">
      <c r="C13" s="19" t="inlineStr">
        <is>
          <t>Denmark</t>
        </is>
      </c>
      <c r="D13" s="18" t="inlineStr">
        <is>
          <t>1 set (3 pairs)</t>
        </is>
      </c>
      <c r="E13" s="20" t="n">
        <v>2.6</v>
      </c>
      <c r="F13" s="21" t="n">
        <v>5.8</v>
      </c>
      <c r="G13" s="22" t="n">
        <v>8.4</v>
      </c>
      <c r="H13" s="23">
        <f>$C$13</f>
        <v/>
      </c>
    </row>
    <row r="14" ht="24" customHeight="1">
      <c r="C14" s="24" t="n"/>
      <c r="D14" s="18" t="inlineStr">
        <is>
          <t>2 sets (3 pairs)</t>
        </is>
      </c>
      <c r="E14" s="20" t="n">
        <v>5.2</v>
      </c>
      <c r="F14" s="21" t="n">
        <v>6.2</v>
      </c>
      <c r="G14" s="22" t="n">
        <v>11.4</v>
      </c>
      <c r="H14" s="23">
        <f>$C$13</f>
        <v/>
      </c>
    </row>
    <row r="15" ht="24" customHeight="1">
      <c r="C15" s="24" t="n"/>
      <c r="D15" s="18" t="inlineStr">
        <is>
          <t>1 set (5 pairs)</t>
        </is>
      </c>
      <c r="E15" s="20" t="n">
        <v>2.6</v>
      </c>
      <c r="F15" s="21" t="n">
        <v>7.1</v>
      </c>
      <c r="G15" s="22" t="n">
        <v>9.699999999999999</v>
      </c>
      <c r="H15" s="23">
        <f>$C$13</f>
        <v/>
      </c>
    </row>
    <row r="16" ht="24" customHeight="1">
      <c r="C16" s="25" t="n"/>
      <c r="D16" s="26" t="inlineStr">
        <is>
          <t>2 sets (5 pairs)</t>
        </is>
      </c>
      <c r="E16" s="27" t="n">
        <v>5.2</v>
      </c>
      <c r="F16" s="28" t="n">
        <v>8.4</v>
      </c>
      <c r="G16" s="29" t="n">
        <v>13.6</v>
      </c>
      <c r="H16" s="23">
        <f>$C$13</f>
        <v/>
      </c>
    </row>
    <row r="17" ht="24" customHeight="1">
      <c r="C17" s="19" t="inlineStr">
        <is>
          <t>Finland</t>
        </is>
      </c>
      <c r="D17" s="18" t="inlineStr">
        <is>
          <t>1 set (3 pairs)</t>
        </is>
      </c>
      <c r="E17" s="20" t="n">
        <v>2.6</v>
      </c>
      <c r="F17" s="21" t="n">
        <v>6.3</v>
      </c>
      <c r="G17" s="22" t="n">
        <v>8.9</v>
      </c>
      <c r="H17" s="23">
        <f>$C$17</f>
        <v/>
      </c>
    </row>
    <row r="18" ht="24" customHeight="1">
      <c r="C18" s="24" t="n"/>
      <c r="D18" s="18" t="inlineStr">
        <is>
          <t>2 sets (3 pairs)</t>
        </is>
      </c>
      <c r="E18" s="20" t="n">
        <v>5.2</v>
      </c>
      <c r="F18" s="21" t="n">
        <v>7.5</v>
      </c>
      <c r="G18" s="22" t="n">
        <v>12.7</v>
      </c>
      <c r="H18" s="23">
        <f>$C$17</f>
        <v/>
      </c>
    </row>
    <row r="19" ht="24" customHeight="1">
      <c r="C19" s="24" t="n"/>
      <c r="D19" s="18" t="inlineStr">
        <is>
          <t>1 set (5 pairs)</t>
        </is>
      </c>
      <c r="E19" s="20" t="n">
        <v>2.6</v>
      </c>
      <c r="F19" s="21" t="n">
        <v>7.7</v>
      </c>
      <c r="G19" s="22" t="n">
        <v>10.3</v>
      </c>
      <c r="H19" s="23">
        <f>$C$17</f>
        <v/>
      </c>
    </row>
    <row r="20" ht="24" customHeight="1">
      <c r="C20" s="25" t="n"/>
      <c r="D20" s="26" t="inlineStr">
        <is>
          <t>2 sets (5 pairs)</t>
        </is>
      </c>
      <c r="E20" s="27" t="n">
        <v>5.2</v>
      </c>
      <c r="F20" s="28" t="n">
        <v>10.1</v>
      </c>
      <c r="G20" s="29" t="n">
        <v>15.3</v>
      </c>
      <c r="H20" s="23">
        <f>$C$17</f>
        <v/>
      </c>
    </row>
    <row r="22" ht="30" customHeight="1">
      <c r="B22" s="30" t="inlineStr">
        <is>
          <t>➕  NEW COUNTRIES — type the country in the grey box, then cost and shipping. Price fills itself (overwrite it with the supplier price if it differs).</t>
        </is>
      </c>
    </row>
    <row r="23" ht="22" customHeight="1">
      <c r="C23" s="31" t="n"/>
      <c r="D23" s="32" t="inlineStr">
        <is>
          <t>1 set (3 pairs)</t>
        </is>
      </c>
      <c r="E23" s="33" t="n"/>
      <c r="F23" s="21" t="n"/>
      <c r="G23" s="34">
        <f>IF(COUNT(E23:F23)=2,E23+F23,"")</f>
        <v/>
      </c>
      <c r="H23" s="23">
        <f>IF($C$23="","",$C$23)</f>
        <v/>
      </c>
    </row>
    <row r="24" ht="22" customHeight="1">
      <c r="C24" s="24" t="n"/>
      <c r="D24" s="32" t="inlineStr">
        <is>
          <t>2 sets (3 pairs)</t>
        </is>
      </c>
      <c r="E24" s="33" t="n"/>
      <c r="F24" s="21" t="n"/>
      <c r="G24" s="34">
        <f>IF(COUNT(E24:F24)=2,E24+F24,"")</f>
        <v/>
      </c>
      <c r="H24" s="23">
        <f>IF($C$23="","",$C$23)</f>
        <v/>
      </c>
    </row>
    <row r="25" ht="22" customHeight="1">
      <c r="C25" s="24" t="n"/>
      <c r="D25" s="32" t="inlineStr">
        <is>
          <t>1 set (5 pairs)</t>
        </is>
      </c>
      <c r="E25" s="33" t="n"/>
      <c r="F25" s="21" t="n"/>
      <c r="G25" s="34">
        <f>IF(COUNT(E25:F25)=2,E25+F25,"")</f>
        <v/>
      </c>
      <c r="H25" s="23">
        <f>IF($C$23="","",$C$23)</f>
        <v/>
      </c>
    </row>
    <row r="26" ht="22" customHeight="1">
      <c r="C26" s="25" t="n"/>
      <c r="D26" s="35" t="inlineStr">
        <is>
          <t>2 sets (5 pairs)</t>
        </is>
      </c>
      <c r="E26" s="36" t="n"/>
      <c r="F26" s="28" t="n"/>
      <c r="G26" s="37">
        <f>IF(COUNT(E26:F26)=2,E26+F26,"")</f>
        <v/>
      </c>
      <c r="H26" s="23">
        <f>IF($C$23="","",$C$23)</f>
        <v/>
      </c>
    </row>
    <row r="27" ht="22" customHeight="1">
      <c r="C27" s="31" t="n"/>
      <c r="D27" s="32" t="inlineStr">
        <is>
          <t>1 set (3 pairs)</t>
        </is>
      </c>
      <c r="E27" s="33" t="n"/>
      <c r="F27" s="21" t="n"/>
      <c r="G27" s="34">
        <f>IF(COUNT(E27:F27)=2,E27+F27,"")</f>
        <v/>
      </c>
      <c r="H27" s="23">
        <f>IF($C$27="","",$C$27)</f>
        <v/>
      </c>
    </row>
    <row r="28" ht="22" customHeight="1">
      <c r="C28" s="24" t="n"/>
      <c r="D28" s="32" t="inlineStr">
        <is>
          <t>2 sets (3 pairs)</t>
        </is>
      </c>
      <c r="E28" s="33" t="n"/>
      <c r="F28" s="21" t="n"/>
      <c r="G28" s="34">
        <f>IF(COUNT(E28:F28)=2,E28+F28,"")</f>
        <v/>
      </c>
      <c r="H28" s="23">
        <f>IF($C$27="","",$C$27)</f>
        <v/>
      </c>
    </row>
    <row r="29" ht="22" customHeight="1">
      <c r="C29" s="24" t="n"/>
      <c r="D29" s="32" t="inlineStr">
        <is>
          <t>1 set (5 pairs)</t>
        </is>
      </c>
      <c r="E29" s="33" t="n"/>
      <c r="F29" s="21" t="n"/>
      <c r="G29" s="34">
        <f>IF(COUNT(E29:F29)=2,E29+F29,"")</f>
        <v/>
      </c>
      <c r="H29" s="23">
        <f>IF($C$27="","",$C$27)</f>
        <v/>
      </c>
    </row>
    <row r="30" ht="22" customHeight="1">
      <c r="C30" s="25" t="n"/>
      <c r="D30" s="35" t="inlineStr">
        <is>
          <t>2 sets (5 pairs)</t>
        </is>
      </c>
      <c r="E30" s="36" t="n"/>
      <c r="F30" s="28" t="n"/>
      <c r="G30" s="37">
        <f>IF(COUNT(E30:F30)=2,E30+F30,"")</f>
        <v/>
      </c>
      <c r="H30" s="23">
        <f>IF($C$27="","",$C$27)</f>
        <v/>
      </c>
    </row>
    <row r="31" ht="22" customHeight="1">
      <c r="C31" s="31" t="n"/>
      <c r="D31" s="32" t="inlineStr">
        <is>
          <t>1 set (3 pairs)</t>
        </is>
      </c>
      <c r="E31" s="33" t="n"/>
      <c r="F31" s="21" t="n"/>
      <c r="G31" s="34">
        <f>IF(COUNT(E31:F31)=2,E31+F31,"")</f>
        <v/>
      </c>
      <c r="H31" s="23">
        <f>IF($C$31="","",$C$31)</f>
        <v/>
      </c>
    </row>
    <row r="32" ht="22" customHeight="1">
      <c r="C32" s="24" t="n"/>
      <c r="D32" s="32" t="inlineStr">
        <is>
          <t>2 sets (3 pairs)</t>
        </is>
      </c>
      <c r="E32" s="33" t="n"/>
      <c r="F32" s="21" t="n"/>
      <c r="G32" s="34">
        <f>IF(COUNT(E32:F32)=2,E32+F32,"")</f>
        <v/>
      </c>
      <c r="H32" s="23">
        <f>IF($C$31="","",$C$31)</f>
        <v/>
      </c>
    </row>
    <row r="33" ht="22" customHeight="1">
      <c r="C33" s="24" t="n"/>
      <c r="D33" s="32" t="inlineStr">
        <is>
          <t>1 set (5 pairs)</t>
        </is>
      </c>
      <c r="E33" s="33" t="n"/>
      <c r="F33" s="21" t="n"/>
      <c r="G33" s="34">
        <f>IF(COUNT(E33:F33)=2,E33+F33,"")</f>
        <v/>
      </c>
      <c r="H33" s="23">
        <f>IF($C$31="","",$C$31)</f>
        <v/>
      </c>
    </row>
    <row r="34" ht="22" customHeight="1">
      <c r="C34" s="25" t="n"/>
      <c r="D34" s="35" t="inlineStr">
        <is>
          <t>2 sets (5 pairs)</t>
        </is>
      </c>
      <c r="E34" s="36" t="n"/>
      <c r="F34" s="28" t="n"/>
      <c r="G34" s="37">
        <f>IF(COUNT(E34:F34)=2,E34+F34,"")</f>
        <v/>
      </c>
      <c r="H34" s="23">
        <f>IF($C$31="","",$C$31)</f>
        <v/>
      </c>
    </row>
    <row r="35" ht="22" customHeight="1">
      <c r="C35" s="31" t="n"/>
      <c r="D35" s="32" t="inlineStr">
        <is>
          <t>1 set (3 pairs)</t>
        </is>
      </c>
      <c r="E35" s="33" t="n"/>
      <c r="F35" s="21" t="n"/>
      <c r="G35" s="34">
        <f>IF(COUNT(E35:F35)=2,E35+F35,"")</f>
        <v/>
      </c>
      <c r="H35" s="23">
        <f>IF($C$35="","",$C$35)</f>
        <v/>
      </c>
    </row>
    <row r="36" ht="22" customHeight="1">
      <c r="C36" s="24" t="n"/>
      <c r="D36" s="32" t="inlineStr">
        <is>
          <t>2 sets (3 pairs)</t>
        </is>
      </c>
      <c r="E36" s="33" t="n"/>
      <c r="F36" s="21" t="n"/>
      <c r="G36" s="34">
        <f>IF(COUNT(E36:F36)=2,E36+F36,"")</f>
        <v/>
      </c>
      <c r="H36" s="23">
        <f>IF($C$35="","",$C$35)</f>
        <v/>
      </c>
    </row>
    <row r="37" ht="22" customHeight="1">
      <c r="C37" s="24" t="n"/>
      <c r="D37" s="32" t="inlineStr">
        <is>
          <t>1 set (5 pairs)</t>
        </is>
      </c>
      <c r="E37" s="33" t="n"/>
      <c r="F37" s="21" t="n"/>
      <c r="G37" s="34">
        <f>IF(COUNT(E37:F37)=2,E37+F37,"")</f>
        <v/>
      </c>
      <c r="H37" s="23">
        <f>IF($C$35="","",$C$35)</f>
        <v/>
      </c>
    </row>
    <row r="38" ht="22" customHeight="1">
      <c r="C38" s="25" t="n"/>
      <c r="D38" s="35" t="inlineStr">
        <is>
          <t>2 sets (5 pairs)</t>
        </is>
      </c>
      <c r="E38" s="36" t="n"/>
      <c r="F38" s="28" t="n"/>
      <c r="G38" s="37">
        <f>IF(COUNT(E38:F38)=2,E38+F38,"")</f>
        <v/>
      </c>
      <c r="H38" s="23">
        <f>IF($C$35="","",$C$35)</f>
        <v/>
      </c>
    </row>
    <row r="39" ht="22" customHeight="1">
      <c r="C39" s="31" t="n"/>
      <c r="D39" s="32" t="inlineStr">
        <is>
          <t>1 set (3 pairs)</t>
        </is>
      </c>
      <c r="E39" s="33" t="n"/>
      <c r="F39" s="21" t="n"/>
      <c r="G39" s="34">
        <f>IF(COUNT(E39:F39)=2,E39+F39,"")</f>
        <v/>
      </c>
      <c r="H39" s="23">
        <f>IF($C$39="","",$C$39)</f>
        <v/>
      </c>
    </row>
    <row r="40" ht="22" customHeight="1">
      <c r="C40" s="24" t="n"/>
      <c r="D40" s="32" t="inlineStr">
        <is>
          <t>2 sets (3 pairs)</t>
        </is>
      </c>
      <c r="E40" s="33" t="n"/>
      <c r="F40" s="21" t="n"/>
      <c r="G40" s="34">
        <f>IF(COUNT(E40:F40)=2,E40+F40,"")</f>
        <v/>
      </c>
      <c r="H40" s="23">
        <f>IF($C$39="","",$C$39)</f>
        <v/>
      </c>
    </row>
    <row r="41" ht="22" customHeight="1">
      <c r="C41" s="24" t="n"/>
      <c r="D41" s="32" t="inlineStr">
        <is>
          <t>1 set (5 pairs)</t>
        </is>
      </c>
      <c r="E41" s="33" t="n"/>
      <c r="F41" s="21" t="n"/>
      <c r="G41" s="34">
        <f>IF(COUNT(E41:F41)=2,E41+F41,"")</f>
        <v/>
      </c>
      <c r="H41" s="23">
        <f>IF($C$39="","",$C$39)</f>
        <v/>
      </c>
    </row>
    <row r="42" ht="22" customHeight="1">
      <c r="C42" s="25" t="n"/>
      <c r="D42" s="35" t="inlineStr">
        <is>
          <t>2 sets (5 pairs)</t>
        </is>
      </c>
      <c r="E42" s="36" t="n"/>
      <c r="F42" s="28" t="n"/>
      <c r="G42" s="37">
        <f>IF(COUNT(E42:F42)=2,E42+F42,"")</f>
        <v/>
      </c>
      <c r="H42" s="23">
        <f>IF($C$39="","",$C$39)</f>
        <v/>
      </c>
    </row>
    <row r="43" ht="22" customHeight="1">
      <c r="C43" s="31" t="n"/>
      <c r="D43" s="32" t="inlineStr">
        <is>
          <t>1 set (3 pairs)</t>
        </is>
      </c>
      <c r="E43" s="33" t="n"/>
      <c r="F43" s="21" t="n"/>
      <c r="G43" s="34">
        <f>IF(COUNT(E43:F43)=2,E43+F43,"")</f>
        <v/>
      </c>
      <c r="H43" s="23">
        <f>IF($C$43="","",$C$43)</f>
        <v/>
      </c>
    </row>
    <row r="44" ht="22" customHeight="1">
      <c r="C44" s="24" t="n"/>
      <c r="D44" s="32" t="inlineStr">
        <is>
          <t>2 sets (3 pairs)</t>
        </is>
      </c>
      <c r="E44" s="33" t="n"/>
      <c r="F44" s="21" t="n"/>
      <c r="G44" s="34">
        <f>IF(COUNT(E44:F44)=2,E44+F44,"")</f>
        <v/>
      </c>
      <c r="H44" s="23">
        <f>IF($C$43="","",$C$43)</f>
        <v/>
      </c>
    </row>
    <row r="45" ht="22" customHeight="1">
      <c r="C45" s="24" t="n"/>
      <c r="D45" s="32" t="inlineStr">
        <is>
          <t>1 set (5 pairs)</t>
        </is>
      </c>
      <c r="E45" s="33" t="n"/>
      <c r="F45" s="21" t="n"/>
      <c r="G45" s="34">
        <f>IF(COUNT(E45:F45)=2,E45+F45,"")</f>
        <v/>
      </c>
      <c r="H45" s="23">
        <f>IF($C$43="","",$C$43)</f>
        <v/>
      </c>
    </row>
    <row r="46" ht="22" customHeight="1">
      <c r="C46" s="25" t="n"/>
      <c r="D46" s="35" t="inlineStr">
        <is>
          <t>2 sets (5 pairs)</t>
        </is>
      </c>
      <c r="E46" s="36" t="n"/>
      <c r="F46" s="28" t="n"/>
      <c r="G46" s="37">
        <f>IF(COUNT(E46:F46)=2,E46+F46,"")</f>
        <v/>
      </c>
      <c r="H46" s="23">
        <f>IF($C$43="","",$C$43)</f>
        <v/>
      </c>
    </row>
    <row r="47" ht="22" customHeight="1">
      <c r="C47" s="31" t="n"/>
      <c r="D47" s="32" t="inlineStr">
        <is>
          <t>1 set (3 pairs)</t>
        </is>
      </c>
      <c r="E47" s="33" t="n"/>
      <c r="F47" s="21" t="n"/>
      <c r="G47" s="34">
        <f>IF(COUNT(E47:F47)=2,E47+F47,"")</f>
        <v/>
      </c>
      <c r="H47" s="23">
        <f>IF($C$47="","",$C$47)</f>
        <v/>
      </c>
    </row>
    <row r="48" ht="22" customHeight="1">
      <c r="C48" s="24" t="n"/>
      <c r="D48" s="32" t="inlineStr">
        <is>
          <t>2 sets (3 pairs)</t>
        </is>
      </c>
      <c r="E48" s="33" t="n"/>
      <c r="F48" s="21" t="n"/>
      <c r="G48" s="34">
        <f>IF(COUNT(E48:F48)=2,E48+F48,"")</f>
        <v/>
      </c>
      <c r="H48" s="23">
        <f>IF($C$47="","",$C$47)</f>
        <v/>
      </c>
    </row>
    <row r="49" ht="22" customHeight="1">
      <c r="C49" s="24" t="n"/>
      <c r="D49" s="32" t="inlineStr">
        <is>
          <t>1 set (5 pairs)</t>
        </is>
      </c>
      <c r="E49" s="33" t="n"/>
      <c r="F49" s="21" t="n"/>
      <c r="G49" s="34">
        <f>IF(COUNT(E49:F49)=2,E49+F49,"")</f>
        <v/>
      </c>
      <c r="H49" s="23">
        <f>IF($C$47="","",$C$47)</f>
        <v/>
      </c>
    </row>
    <row r="50" ht="22" customHeight="1">
      <c r="C50" s="25" t="n"/>
      <c r="D50" s="35" t="inlineStr">
        <is>
          <t>2 sets (5 pairs)</t>
        </is>
      </c>
      <c r="E50" s="36" t="n"/>
      <c r="F50" s="28" t="n"/>
      <c r="G50" s="37">
        <f>IF(COUNT(E50:F50)=2,E50+F50,"")</f>
        <v/>
      </c>
      <c r="H50" s="23">
        <f>IF($C$47="","",$C$47)</f>
        <v/>
      </c>
    </row>
    <row r="51" ht="22" customHeight="1">
      <c r="C51" s="31" t="n"/>
      <c r="D51" s="32" t="inlineStr">
        <is>
          <t>1 set (3 pairs)</t>
        </is>
      </c>
      <c r="E51" s="33" t="n"/>
      <c r="F51" s="21" t="n"/>
      <c r="G51" s="34">
        <f>IF(COUNT(E51:F51)=2,E51+F51,"")</f>
        <v/>
      </c>
      <c r="H51" s="23">
        <f>IF($C$51="","",$C$51)</f>
        <v/>
      </c>
    </row>
    <row r="52" ht="22" customHeight="1">
      <c r="C52" s="24" t="n"/>
      <c r="D52" s="32" t="inlineStr">
        <is>
          <t>2 sets (3 pairs)</t>
        </is>
      </c>
      <c r="E52" s="33" t="n"/>
      <c r="F52" s="21" t="n"/>
      <c r="G52" s="34">
        <f>IF(COUNT(E52:F52)=2,E52+F52,"")</f>
        <v/>
      </c>
      <c r="H52" s="23">
        <f>IF($C$51="","",$C$51)</f>
        <v/>
      </c>
    </row>
    <row r="53" ht="22" customHeight="1">
      <c r="C53" s="24" t="n"/>
      <c r="D53" s="32" t="inlineStr">
        <is>
          <t>1 set (5 pairs)</t>
        </is>
      </c>
      <c r="E53" s="33" t="n"/>
      <c r="F53" s="21" t="n"/>
      <c r="G53" s="34">
        <f>IF(COUNT(E53:F53)=2,E53+F53,"")</f>
        <v/>
      </c>
      <c r="H53" s="23">
        <f>IF($C$51="","",$C$51)</f>
        <v/>
      </c>
    </row>
    <row r="54" ht="22" customHeight="1">
      <c r="C54" s="25" t="n"/>
      <c r="D54" s="35" t="inlineStr">
        <is>
          <t>2 sets (5 pairs)</t>
        </is>
      </c>
      <c r="E54" s="36" t="n"/>
      <c r="F54" s="28" t="n"/>
      <c r="G54" s="37">
        <f>IF(COUNT(E54:F54)=2,E54+F54,"")</f>
        <v/>
      </c>
      <c r="H54" s="23">
        <f>IF($C$51="","",$C$51)</f>
        <v/>
      </c>
    </row>
    <row r="55" ht="22" customHeight="1">
      <c r="C55" s="31" t="n"/>
      <c r="D55" s="32" t="inlineStr">
        <is>
          <t>1 set (3 pairs)</t>
        </is>
      </c>
      <c r="E55" s="33" t="n"/>
      <c r="F55" s="21" t="n"/>
      <c r="G55" s="34">
        <f>IF(COUNT(E55:F55)=2,E55+F55,"")</f>
        <v/>
      </c>
      <c r="H55" s="23">
        <f>IF($C$55="","",$C$55)</f>
        <v/>
      </c>
    </row>
    <row r="56" ht="22" customHeight="1">
      <c r="C56" s="24" t="n"/>
      <c r="D56" s="32" t="inlineStr">
        <is>
          <t>2 sets (3 pairs)</t>
        </is>
      </c>
      <c r="E56" s="33" t="n"/>
      <c r="F56" s="21" t="n"/>
      <c r="G56" s="34">
        <f>IF(COUNT(E56:F56)=2,E56+F56,"")</f>
        <v/>
      </c>
      <c r="H56" s="23">
        <f>IF($C$55="","",$C$55)</f>
        <v/>
      </c>
    </row>
    <row r="57" ht="22" customHeight="1">
      <c r="C57" s="24" t="n"/>
      <c r="D57" s="32" t="inlineStr">
        <is>
          <t>1 set (5 pairs)</t>
        </is>
      </c>
      <c r="E57" s="33" t="n"/>
      <c r="F57" s="21" t="n"/>
      <c r="G57" s="34">
        <f>IF(COUNT(E57:F57)=2,E57+F57,"")</f>
        <v/>
      </c>
      <c r="H57" s="23">
        <f>IF($C$55="","",$C$55)</f>
        <v/>
      </c>
    </row>
    <row r="58" ht="22" customHeight="1">
      <c r="C58" s="25" t="n"/>
      <c r="D58" s="35" t="inlineStr">
        <is>
          <t>2 sets (5 pairs)</t>
        </is>
      </c>
      <c r="E58" s="36" t="n"/>
      <c r="F58" s="28" t="n"/>
      <c r="G58" s="37">
        <f>IF(COUNT(E58:F58)=2,E58+F58,"")</f>
        <v/>
      </c>
      <c r="H58" s="23">
        <f>IF($C$55="","",$C$55)</f>
        <v/>
      </c>
    </row>
    <row r="59" ht="22" customHeight="1">
      <c r="C59" s="31" t="n"/>
      <c r="D59" s="32" t="inlineStr">
        <is>
          <t>1 set (3 pairs)</t>
        </is>
      </c>
      <c r="E59" s="33" t="n"/>
      <c r="F59" s="21" t="n"/>
      <c r="G59" s="34">
        <f>IF(COUNT(E59:F59)=2,E59+F59,"")</f>
        <v/>
      </c>
      <c r="H59" s="23">
        <f>IF($C$59="","",$C$59)</f>
        <v/>
      </c>
    </row>
    <row r="60" ht="22" customHeight="1">
      <c r="C60" s="24" t="n"/>
      <c r="D60" s="32" t="inlineStr">
        <is>
          <t>2 sets (3 pairs)</t>
        </is>
      </c>
      <c r="E60" s="33" t="n"/>
      <c r="F60" s="21" t="n"/>
      <c r="G60" s="34">
        <f>IF(COUNT(E60:F60)=2,E60+F60,"")</f>
        <v/>
      </c>
      <c r="H60" s="23">
        <f>IF($C$59="","",$C$59)</f>
        <v/>
      </c>
    </row>
    <row r="61" ht="22" customHeight="1">
      <c r="C61" s="24" t="n"/>
      <c r="D61" s="32" t="inlineStr">
        <is>
          <t>1 set (5 pairs)</t>
        </is>
      </c>
      <c r="E61" s="33" t="n"/>
      <c r="F61" s="21" t="n"/>
      <c r="G61" s="34">
        <f>IF(COUNT(E61:F61)=2,E61+F61,"")</f>
        <v/>
      </c>
      <c r="H61" s="23">
        <f>IF($C$59="","",$C$59)</f>
        <v/>
      </c>
    </row>
    <row r="62" ht="22" customHeight="1">
      <c r="C62" s="25" t="n"/>
      <c r="D62" s="35" t="inlineStr">
        <is>
          <t>2 sets (5 pairs)</t>
        </is>
      </c>
      <c r="E62" s="36" t="n"/>
      <c r="F62" s="28" t="n"/>
      <c r="G62" s="37">
        <f>IF(COUNT(E62:F62)=2,E62+F62,"")</f>
        <v/>
      </c>
      <c r="H62" s="23">
        <f>IF($C$59="","",$C$59)</f>
        <v/>
      </c>
    </row>
    <row r="63" ht="22" customHeight="1">
      <c r="C63" s="31" t="n"/>
      <c r="D63" s="32" t="inlineStr">
        <is>
          <t>1 set (3 pairs)</t>
        </is>
      </c>
      <c r="E63" s="33" t="n"/>
      <c r="F63" s="21" t="n"/>
      <c r="G63" s="34">
        <f>IF(COUNT(E63:F63)=2,E63+F63,"")</f>
        <v/>
      </c>
      <c r="H63" s="23">
        <f>IF($C$63="","",$C$63)</f>
        <v/>
      </c>
    </row>
    <row r="64" ht="22" customHeight="1">
      <c r="C64" s="24" t="n"/>
      <c r="D64" s="32" t="inlineStr">
        <is>
          <t>2 sets (3 pairs)</t>
        </is>
      </c>
      <c r="E64" s="33" t="n"/>
      <c r="F64" s="21" t="n"/>
      <c r="G64" s="34">
        <f>IF(COUNT(E64:F64)=2,E64+F64,"")</f>
        <v/>
      </c>
      <c r="H64" s="23">
        <f>IF($C$63="","",$C$63)</f>
        <v/>
      </c>
    </row>
    <row r="65" ht="22" customHeight="1">
      <c r="C65" s="24" t="n"/>
      <c r="D65" s="32" t="inlineStr">
        <is>
          <t>1 set (5 pairs)</t>
        </is>
      </c>
      <c r="E65" s="33" t="n"/>
      <c r="F65" s="21" t="n"/>
      <c r="G65" s="34">
        <f>IF(COUNT(E65:F65)=2,E65+F65,"")</f>
        <v/>
      </c>
      <c r="H65" s="23">
        <f>IF($C$63="","",$C$63)</f>
        <v/>
      </c>
    </row>
    <row r="66" ht="22" customHeight="1">
      <c r="C66" s="25" t="n"/>
      <c r="D66" s="35" t="inlineStr">
        <is>
          <t>2 sets (5 pairs)</t>
        </is>
      </c>
      <c r="E66" s="36" t="n"/>
      <c r="F66" s="28" t="n"/>
      <c r="G66" s="37">
        <f>IF(COUNT(E66:F66)=2,E66+F66,"")</f>
        <v/>
      </c>
      <c r="H66" s="23">
        <f>IF($C$63="","",$C$63)</f>
        <v/>
      </c>
    </row>
    <row r="67" ht="22" customHeight="1">
      <c r="C67" s="31" t="n"/>
      <c r="D67" s="32" t="inlineStr">
        <is>
          <t>1 set (3 pairs)</t>
        </is>
      </c>
      <c r="E67" s="33" t="n"/>
      <c r="F67" s="21" t="n"/>
      <c r="G67" s="34">
        <f>IF(COUNT(E67:F67)=2,E67+F67,"")</f>
        <v/>
      </c>
      <c r="H67" s="23">
        <f>IF($C$67="","",$C$67)</f>
        <v/>
      </c>
    </row>
    <row r="68" ht="22" customHeight="1">
      <c r="C68" s="24" t="n"/>
      <c r="D68" s="32" t="inlineStr">
        <is>
          <t>2 sets (3 pairs)</t>
        </is>
      </c>
      <c r="E68" s="33" t="n"/>
      <c r="F68" s="21" t="n"/>
      <c r="G68" s="34">
        <f>IF(COUNT(E68:F68)=2,E68+F68,"")</f>
        <v/>
      </c>
      <c r="H68" s="23">
        <f>IF($C$67="","",$C$67)</f>
        <v/>
      </c>
    </row>
    <row r="69" ht="22" customHeight="1">
      <c r="C69" s="24" t="n"/>
      <c r="D69" s="32" t="inlineStr">
        <is>
          <t>1 set (5 pairs)</t>
        </is>
      </c>
      <c r="E69" s="33" t="n"/>
      <c r="F69" s="21" t="n"/>
      <c r="G69" s="34">
        <f>IF(COUNT(E69:F69)=2,E69+F69,"")</f>
        <v/>
      </c>
      <c r="H69" s="23">
        <f>IF($C$67="","",$C$67)</f>
        <v/>
      </c>
    </row>
    <row r="70" ht="22" customHeight="1">
      <c r="C70" s="25" t="n"/>
      <c r="D70" s="35" t="inlineStr">
        <is>
          <t>2 sets (5 pairs)</t>
        </is>
      </c>
      <c r="E70" s="36" t="n"/>
      <c r="F70" s="28" t="n"/>
      <c r="G70" s="37">
        <f>IF(COUNT(E70:F70)=2,E70+F70,"")</f>
        <v/>
      </c>
      <c r="H70" s="23">
        <f>IF($C$67="","",$C$67)</f>
        <v/>
      </c>
    </row>
    <row r="71" ht="22" customHeight="1">
      <c r="C71" s="31" t="n"/>
      <c r="D71" s="32" t="inlineStr">
        <is>
          <t>1 set (3 pairs)</t>
        </is>
      </c>
      <c r="E71" s="33" t="n"/>
      <c r="F71" s="21" t="n"/>
      <c r="G71" s="34">
        <f>IF(COUNT(E71:F71)=2,E71+F71,"")</f>
        <v/>
      </c>
      <c r="H71" s="23">
        <f>IF($C$71="","",$C$71)</f>
        <v/>
      </c>
    </row>
    <row r="72" ht="22" customHeight="1">
      <c r="C72" s="24" t="n"/>
      <c r="D72" s="32" t="inlineStr">
        <is>
          <t>2 sets (3 pairs)</t>
        </is>
      </c>
      <c r="E72" s="33" t="n"/>
      <c r="F72" s="21" t="n"/>
      <c r="G72" s="34">
        <f>IF(COUNT(E72:F72)=2,E72+F72,"")</f>
        <v/>
      </c>
      <c r="H72" s="23">
        <f>IF($C$71="","",$C$71)</f>
        <v/>
      </c>
    </row>
    <row r="73" ht="22" customHeight="1">
      <c r="C73" s="24" t="n"/>
      <c r="D73" s="32" t="inlineStr">
        <is>
          <t>1 set (5 pairs)</t>
        </is>
      </c>
      <c r="E73" s="33" t="n"/>
      <c r="F73" s="21" t="n"/>
      <c r="G73" s="34">
        <f>IF(COUNT(E73:F73)=2,E73+F73,"")</f>
        <v/>
      </c>
      <c r="H73" s="23">
        <f>IF($C$71="","",$C$71)</f>
        <v/>
      </c>
    </row>
    <row r="74" ht="22" customHeight="1">
      <c r="C74" s="25" t="n"/>
      <c r="D74" s="35" t="inlineStr">
        <is>
          <t>2 sets (5 pairs)</t>
        </is>
      </c>
      <c r="E74" s="36" t="n"/>
      <c r="F74" s="28" t="n"/>
      <c r="G74" s="37">
        <f>IF(COUNT(E74:F74)=2,E74+F74,"")</f>
        <v/>
      </c>
      <c r="H74" s="23">
        <f>IF($C$71="","",$C$71)</f>
        <v/>
      </c>
    </row>
    <row r="75" ht="22" customHeight="1">
      <c r="C75" s="31" t="n"/>
      <c r="D75" s="32" t="inlineStr">
        <is>
          <t>1 set (3 pairs)</t>
        </is>
      </c>
      <c r="E75" s="33" t="n"/>
      <c r="F75" s="21" t="n"/>
      <c r="G75" s="34">
        <f>IF(COUNT(E75:F75)=2,E75+F75,"")</f>
        <v/>
      </c>
      <c r="H75" s="23">
        <f>IF($C$75="","",$C$75)</f>
        <v/>
      </c>
    </row>
    <row r="76" ht="22" customHeight="1">
      <c r="C76" s="24" t="n"/>
      <c r="D76" s="32" t="inlineStr">
        <is>
          <t>2 sets (3 pairs)</t>
        </is>
      </c>
      <c r="E76" s="33" t="n"/>
      <c r="F76" s="21" t="n"/>
      <c r="G76" s="34">
        <f>IF(COUNT(E76:F76)=2,E76+F76,"")</f>
        <v/>
      </c>
      <c r="H76" s="23">
        <f>IF($C$75="","",$C$75)</f>
        <v/>
      </c>
    </row>
    <row r="77" ht="22" customHeight="1">
      <c r="C77" s="24" t="n"/>
      <c r="D77" s="32" t="inlineStr">
        <is>
          <t>1 set (5 pairs)</t>
        </is>
      </c>
      <c r="E77" s="33" t="n"/>
      <c r="F77" s="21" t="n"/>
      <c r="G77" s="34">
        <f>IF(COUNT(E77:F77)=2,E77+F77,"")</f>
        <v/>
      </c>
      <c r="H77" s="23">
        <f>IF($C$75="","",$C$75)</f>
        <v/>
      </c>
    </row>
    <row r="78" ht="22" customHeight="1">
      <c r="C78" s="25" t="n"/>
      <c r="D78" s="35" t="inlineStr">
        <is>
          <t>2 sets (5 pairs)</t>
        </is>
      </c>
      <c r="E78" s="36" t="n"/>
      <c r="F78" s="28" t="n"/>
      <c r="G78" s="37">
        <f>IF(COUNT(E78:F78)=2,E78+F78,"")</f>
        <v/>
      </c>
      <c r="H78" s="23">
        <f>IF($C$75="","",$C$75)</f>
        <v/>
      </c>
    </row>
    <row r="79" ht="22" customHeight="1">
      <c r="C79" s="31" t="n"/>
      <c r="D79" s="32" t="inlineStr">
        <is>
          <t>1 set (3 pairs)</t>
        </is>
      </c>
      <c r="E79" s="33" t="n"/>
      <c r="F79" s="21" t="n"/>
      <c r="G79" s="34">
        <f>IF(COUNT(E79:F79)=2,E79+F79,"")</f>
        <v/>
      </c>
      <c r="H79" s="23">
        <f>IF($C$79="","",$C$79)</f>
        <v/>
      </c>
    </row>
    <row r="80" ht="22" customHeight="1">
      <c r="C80" s="24" t="n"/>
      <c r="D80" s="32" t="inlineStr">
        <is>
          <t>2 sets (3 pairs)</t>
        </is>
      </c>
      <c r="E80" s="33" t="n"/>
      <c r="F80" s="21" t="n"/>
      <c r="G80" s="34">
        <f>IF(COUNT(E80:F80)=2,E80+F80,"")</f>
        <v/>
      </c>
      <c r="H80" s="23">
        <f>IF($C$79="","",$C$79)</f>
        <v/>
      </c>
    </row>
    <row r="81" ht="22" customHeight="1">
      <c r="C81" s="24" t="n"/>
      <c r="D81" s="32" t="inlineStr">
        <is>
          <t>1 set (5 pairs)</t>
        </is>
      </c>
      <c r="E81" s="33" t="n"/>
      <c r="F81" s="21" t="n"/>
      <c r="G81" s="34">
        <f>IF(COUNT(E81:F81)=2,E81+F81,"")</f>
        <v/>
      </c>
      <c r="H81" s="23">
        <f>IF($C$79="","",$C$79)</f>
        <v/>
      </c>
    </row>
    <row r="82" ht="22" customHeight="1">
      <c r="C82" s="25" t="n"/>
      <c r="D82" s="35" t="inlineStr">
        <is>
          <t>2 sets (5 pairs)</t>
        </is>
      </c>
      <c r="E82" s="36" t="n"/>
      <c r="F82" s="28" t="n"/>
      <c r="G82" s="37">
        <f>IF(COUNT(E82:F82)=2,E82+F82,"")</f>
        <v/>
      </c>
      <c r="H82" s="23">
        <f>IF($C$79="","",$C$79)</f>
        <v/>
      </c>
    </row>
    <row r="83" ht="22" customHeight="1">
      <c r="C83" s="31" t="n"/>
      <c r="D83" s="32" t="inlineStr">
        <is>
          <t>1 set (3 pairs)</t>
        </is>
      </c>
      <c r="E83" s="33" t="n"/>
      <c r="F83" s="21" t="n"/>
      <c r="G83" s="34">
        <f>IF(COUNT(E83:F83)=2,E83+F83,"")</f>
        <v/>
      </c>
      <c r="H83" s="23">
        <f>IF($C$83="","",$C$83)</f>
        <v/>
      </c>
    </row>
    <row r="84" ht="22" customHeight="1">
      <c r="C84" s="24" t="n"/>
      <c r="D84" s="32" t="inlineStr">
        <is>
          <t>2 sets (3 pairs)</t>
        </is>
      </c>
      <c r="E84" s="33" t="n"/>
      <c r="F84" s="21" t="n"/>
      <c r="G84" s="34">
        <f>IF(COUNT(E84:F84)=2,E84+F84,"")</f>
        <v/>
      </c>
      <c r="H84" s="23">
        <f>IF($C$83="","",$C$83)</f>
        <v/>
      </c>
    </row>
    <row r="85" ht="22" customHeight="1">
      <c r="C85" s="24" t="n"/>
      <c r="D85" s="32" t="inlineStr">
        <is>
          <t>1 set (5 pairs)</t>
        </is>
      </c>
      <c r="E85" s="33" t="n"/>
      <c r="F85" s="21" t="n"/>
      <c r="G85" s="34">
        <f>IF(COUNT(E85:F85)=2,E85+F85,"")</f>
        <v/>
      </c>
      <c r="H85" s="23">
        <f>IF($C$83="","",$C$83)</f>
        <v/>
      </c>
    </row>
    <row r="86" ht="22" customHeight="1">
      <c r="C86" s="25" t="n"/>
      <c r="D86" s="35" t="inlineStr">
        <is>
          <t>2 sets (5 pairs)</t>
        </is>
      </c>
      <c r="E86" s="36" t="n"/>
      <c r="F86" s="28" t="n"/>
      <c r="G86" s="37">
        <f>IF(COUNT(E86:F86)=2,E86+F86,"")</f>
        <v/>
      </c>
      <c r="H86" s="23">
        <f>IF($C$83="","",$C$83)</f>
        <v/>
      </c>
    </row>
    <row r="87" ht="22" customHeight="1">
      <c r="C87" s="31" t="n"/>
      <c r="D87" s="32" t="inlineStr">
        <is>
          <t>1 set (3 pairs)</t>
        </is>
      </c>
      <c r="E87" s="33" t="n"/>
      <c r="F87" s="21" t="n"/>
      <c r="G87" s="34">
        <f>IF(COUNT(E87:F87)=2,E87+F87,"")</f>
        <v/>
      </c>
      <c r="H87" s="23">
        <f>IF($C$87="","",$C$87)</f>
        <v/>
      </c>
    </row>
    <row r="88" ht="22" customHeight="1">
      <c r="C88" s="24" t="n"/>
      <c r="D88" s="32" t="inlineStr">
        <is>
          <t>2 sets (3 pairs)</t>
        </is>
      </c>
      <c r="E88" s="33" t="n"/>
      <c r="F88" s="21" t="n"/>
      <c r="G88" s="34">
        <f>IF(COUNT(E88:F88)=2,E88+F88,"")</f>
        <v/>
      </c>
      <c r="H88" s="23">
        <f>IF($C$87="","",$C$87)</f>
        <v/>
      </c>
    </row>
    <row r="89" ht="22" customHeight="1">
      <c r="C89" s="24" t="n"/>
      <c r="D89" s="32" t="inlineStr">
        <is>
          <t>1 set (5 pairs)</t>
        </is>
      </c>
      <c r="E89" s="33" t="n"/>
      <c r="F89" s="21" t="n"/>
      <c r="G89" s="34">
        <f>IF(COUNT(E89:F89)=2,E89+F89,"")</f>
        <v/>
      </c>
      <c r="H89" s="23">
        <f>IF($C$87="","",$C$87)</f>
        <v/>
      </c>
    </row>
    <row r="90" ht="22" customHeight="1">
      <c r="C90" s="25" t="n"/>
      <c r="D90" s="35" t="inlineStr">
        <is>
          <t>2 sets (5 pairs)</t>
        </is>
      </c>
      <c r="E90" s="36" t="n"/>
      <c r="F90" s="28" t="n"/>
      <c r="G90" s="37">
        <f>IF(COUNT(E90:F90)=2,E90+F90,"")</f>
        <v/>
      </c>
      <c r="H90" s="23">
        <f>IF($C$87="","",$C$87)</f>
        <v/>
      </c>
    </row>
    <row r="91" ht="22" customHeight="1">
      <c r="C91" s="31" t="n"/>
      <c r="D91" s="32" t="inlineStr">
        <is>
          <t>1 set (3 pairs)</t>
        </is>
      </c>
      <c r="E91" s="33" t="n"/>
      <c r="F91" s="21" t="n"/>
      <c r="G91" s="34">
        <f>IF(COUNT(E91:F91)=2,E91+F91,"")</f>
        <v/>
      </c>
      <c r="H91" s="23">
        <f>IF($C$91="","",$C$91)</f>
        <v/>
      </c>
    </row>
    <row r="92" ht="22" customHeight="1">
      <c r="C92" s="24" t="n"/>
      <c r="D92" s="32" t="inlineStr">
        <is>
          <t>2 sets (3 pairs)</t>
        </is>
      </c>
      <c r="E92" s="33" t="n"/>
      <c r="F92" s="21" t="n"/>
      <c r="G92" s="34">
        <f>IF(COUNT(E92:F92)=2,E92+F92,"")</f>
        <v/>
      </c>
      <c r="H92" s="23">
        <f>IF($C$91="","",$C$91)</f>
        <v/>
      </c>
    </row>
    <row r="93" ht="22" customHeight="1">
      <c r="C93" s="24" t="n"/>
      <c r="D93" s="32" t="inlineStr">
        <is>
          <t>1 set (5 pairs)</t>
        </is>
      </c>
      <c r="E93" s="33" t="n"/>
      <c r="F93" s="21" t="n"/>
      <c r="G93" s="34">
        <f>IF(COUNT(E93:F93)=2,E93+F93,"")</f>
        <v/>
      </c>
      <c r="H93" s="23">
        <f>IF($C$91="","",$C$91)</f>
        <v/>
      </c>
    </row>
    <row r="94" ht="22" customHeight="1">
      <c r="C94" s="25" t="n"/>
      <c r="D94" s="35" t="inlineStr">
        <is>
          <t>2 sets (5 pairs)</t>
        </is>
      </c>
      <c r="E94" s="36" t="n"/>
      <c r="F94" s="28" t="n"/>
      <c r="G94" s="37">
        <f>IF(COUNT(E94:F94)=2,E94+F94,"")</f>
        <v/>
      </c>
      <c r="H94" s="23">
        <f>IF($C$91="","",$C$91)</f>
        <v/>
      </c>
    </row>
    <row r="95" ht="22" customHeight="1">
      <c r="C95" s="31" t="n"/>
      <c r="D95" s="32" t="inlineStr">
        <is>
          <t>1 set (3 pairs)</t>
        </is>
      </c>
      <c r="E95" s="33" t="n"/>
      <c r="F95" s="21" t="n"/>
      <c r="G95" s="34">
        <f>IF(COUNT(E95:F95)=2,E95+F95,"")</f>
        <v/>
      </c>
      <c r="H95" s="23">
        <f>IF($C$95="","",$C$95)</f>
        <v/>
      </c>
    </row>
    <row r="96" ht="22" customHeight="1">
      <c r="C96" s="24" t="n"/>
      <c r="D96" s="32" t="inlineStr">
        <is>
          <t>2 sets (3 pairs)</t>
        </is>
      </c>
      <c r="E96" s="33" t="n"/>
      <c r="F96" s="21" t="n"/>
      <c r="G96" s="34">
        <f>IF(COUNT(E96:F96)=2,E96+F96,"")</f>
        <v/>
      </c>
      <c r="H96" s="23">
        <f>IF($C$95="","",$C$95)</f>
        <v/>
      </c>
    </row>
    <row r="97" ht="22" customHeight="1">
      <c r="C97" s="24" t="n"/>
      <c r="D97" s="32" t="inlineStr">
        <is>
          <t>1 set (5 pairs)</t>
        </is>
      </c>
      <c r="E97" s="33" t="n"/>
      <c r="F97" s="21" t="n"/>
      <c r="G97" s="34">
        <f>IF(COUNT(E97:F97)=2,E97+F97,"")</f>
        <v/>
      </c>
      <c r="H97" s="23">
        <f>IF($C$95="","",$C$95)</f>
        <v/>
      </c>
    </row>
    <row r="98" ht="22" customHeight="1">
      <c r="C98" s="25" t="n"/>
      <c r="D98" s="35" t="inlineStr">
        <is>
          <t>2 sets (5 pairs)</t>
        </is>
      </c>
      <c r="E98" s="36" t="n"/>
      <c r="F98" s="28" t="n"/>
      <c r="G98" s="37">
        <f>IF(COUNT(E98:F98)=2,E98+F98,"")</f>
        <v/>
      </c>
      <c r="H98" s="23">
        <f>IF($C$95="","",$C$95)</f>
        <v/>
      </c>
    </row>
    <row r="99" ht="22" customHeight="1">
      <c r="C99" s="31" t="n"/>
      <c r="D99" s="32" t="inlineStr">
        <is>
          <t>1 set (3 pairs)</t>
        </is>
      </c>
      <c r="E99" s="33" t="n"/>
      <c r="F99" s="21" t="n"/>
      <c r="G99" s="34">
        <f>IF(COUNT(E99:F99)=2,E99+F99,"")</f>
        <v/>
      </c>
      <c r="H99" s="23">
        <f>IF($C$99="","",$C$99)</f>
        <v/>
      </c>
    </row>
    <row r="100" ht="22" customHeight="1">
      <c r="C100" s="24" t="n"/>
      <c r="D100" s="32" t="inlineStr">
        <is>
          <t>2 sets (3 pairs)</t>
        </is>
      </c>
      <c r="E100" s="33" t="n"/>
      <c r="F100" s="21" t="n"/>
      <c r="G100" s="34">
        <f>IF(COUNT(E100:F100)=2,E100+F100,"")</f>
        <v/>
      </c>
      <c r="H100" s="23">
        <f>IF($C$99="","",$C$99)</f>
        <v/>
      </c>
    </row>
    <row r="101" ht="22" customHeight="1">
      <c r="C101" s="24" t="n"/>
      <c r="D101" s="32" t="inlineStr">
        <is>
          <t>1 set (5 pairs)</t>
        </is>
      </c>
      <c r="E101" s="33" t="n"/>
      <c r="F101" s="21" t="n"/>
      <c r="G101" s="34">
        <f>IF(COUNT(E101:F101)=2,E101+F101,"")</f>
        <v/>
      </c>
      <c r="H101" s="23">
        <f>IF($C$99="","",$C$99)</f>
        <v/>
      </c>
    </row>
    <row r="102" ht="22" customHeight="1">
      <c r="C102" s="25" t="n"/>
      <c r="D102" s="35" t="inlineStr">
        <is>
          <t>2 sets (5 pairs)</t>
        </is>
      </c>
      <c r="E102" s="36" t="n"/>
      <c r="F102" s="28" t="n"/>
      <c r="G102" s="37">
        <f>IF(COUNT(E102:F102)=2,E102+F102,"")</f>
        <v/>
      </c>
      <c r="H102" s="23">
        <f>IF($C$99="","",$C$99)</f>
        <v/>
      </c>
    </row>
  </sheetData>
  <mergeCells count="28">
    <mergeCell ref="B2:G2"/>
    <mergeCell ref="C5:C8"/>
    <mergeCell ref="C83:C86"/>
    <mergeCell ref="B1:G1"/>
    <mergeCell ref="C63:C66"/>
    <mergeCell ref="C79:C82"/>
    <mergeCell ref="B5:B20"/>
    <mergeCell ref="C35:C38"/>
    <mergeCell ref="C9:C12"/>
    <mergeCell ref="C75:C78"/>
    <mergeCell ref="C47:C50"/>
    <mergeCell ref="C59:C62"/>
    <mergeCell ref="C55:C58"/>
    <mergeCell ref="C31:C34"/>
    <mergeCell ref="C27:C30"/>
    <mergeCell ref="C71:C74"/>
    <mergeCell ref="C43:C46"/>
    <mergeCell ref="C17:C20"/>
    <mergeCell ref="C99:C102"/>
    <mergeCell ref="C39:C42"/>
    <mergeCell ref="C51:C54"/>
    <mergeCell ref="C91:C94"/>
    <mergeCell ref="C67:C70"/>
    <mergeCell ref="C23:C26"/>
    <mergeCell ref="C95:C98"/>
    <mergeCell ref="C13:C16"/>
    <mergeCell ref="B22:G22"/>
    <mergeCell ref="C87:C90"/>
  </mergeCells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C4899"/>
    <outlinePr summaryBelow="1" summaryRight="1"/>
    <pageSetUpPr fitToPage="1"/>
  </sheetPr>
  <dimension ref="B1:H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0" customWidth="1" min="4" max="4"/>
    <col width="13" customWidth="1" min="5" max="5"/>
    <col width="18" customWidth="1" min="6" max="6"/>
    <col width="15" customWidth="1" min="7" max="7"/>
    <col hidden="1" width="12" customWidth="1" min="8" max="8"/>
  </cols>
  <sheetData>
    <row r="1" ht="38" customHeight="1">
      <c r="B1" s="1" t="inlineStr">
        <is>
          <t>DONUT SOCKS — COGS per country</t>
        </is>
      </c>
      <c r="C1" s="2" t="n"/>
      <c r="D1" s="2" t="n"/>
      <c r="E1" s="2" t="n"/>
      <c r="F1" s="2" t="n"/>
      <c r="G1" s="2" t="n"/>
    </row>
    <row r="2" ht="20" customHeight="1">
      <c r="B2" s="3" t="inlineStr">
        <is>
          <t>Supplier quote, read 2026-09-29. All amounts in USD per order. Blue numbers = supplier quote. Grey rows at the bottom = add a new country.</t>
        </is>
      </c>
    </row>
    <row r="4" ht="34" customHeight="1">
      <c r="B4" s="4" t="inlineStr">
        <is>
          <t>Picture</t>
        </is>
      </c>
      <c r="C4" s="4" t="inlineStr">
        <is>
          <t>Country</t>
        </is>
      </c>
      <c r="D4" s="4" t="inlineStr">
        <is>
          <t>Quantity</t>
        </is>
      </c>
      <c r="E4" s="4" t="inlineStr">
        <is>
          <t>COST ($)</t>
        </is>
      </c>
      <c r="F4" s="4" t="inlineStr">
        <is>
          <t>SHIPPING FEE ($)</t>
        </is>
      </c>
      <c r="G4" s="17" t="inlineStr">
        <is>
          <t>PRICE ($)</t>
        </is>
      </c>
    </row>
    <row r="5" ht="24" customHeight="1">
      <c r="B5" s="18" t="n"/>
      <c r="C5" s="19" t="inlineStr">
        <is>
          <t>Sweden</t>
        </is>
      </c>
      <c r="D5" s="18" t="inlineStr">
        <is>
          <t>1 set (3 pairs)</t>
        </is>
      </c>
      <c r="E5" s="20" t="n">
        <v>2.1</v>
      </c>
      <c r="F5" s="21" t="n">
        <v>5.2</v>
      </c>
      <c r="G5" s="22" t="n">
        <v>7.3</v>
      </c>
      <c r="H5" s="23">
        <f>$C$5</f>
        <v/>
      </c>
    </row>
    <row r="6" ht="24" customHeight="1">
      <c r="C6" s="25" t="n"/>
      <c r="D6" s="26" t="inlineStr">
        <is>
          <t>2 sets</t>
        </is>
      </c>
      <c r="E6" s="27" t="n">
        <v>4.2</v>
      </c>
      <c r="F6" s="28" t="n">
        <v>7</v>
      </c>
      <c r="G6" s="29" t="n">
        <v>11.3</v>
      </c>
      <c r="H6" s="23">
        <f>$C$5</f>
        <v/>
      </c>
    </row>
    <row r="7" ht="24" customHeight="1">
      <c r="C7" s="19" t="inlineStr">
        <is>
          <t>USA</t>
        </is>
      </c>
      <c r="D7" s="18" t="inlineStr">
        <is>
          <t>1 set (3 pairs)</t>
        </is>
      </c>
      <c r="E7" s="20" t="n">
        <v>2.6</v>
      </c>
      <c r="F7" s="21" t="n">
        <v>6.5</v>
      </c>
      <c r="G7" s="22" t="n">
        <v>9.1</v>
      </c>
      <c r="H7" s="23">
        <f>$C$7</f>
        <v/>
      </c>
    </row>
    <row r="8" ht="24" customHeight="1">
      <c r="C8" s="25" t="n"/>
      <c r="D8" s="26" t="inlineStr">
        <is>
          <t>2 sets</t>
        </is>
      </c>
      <c r="E8" s="27" t="n">
        <v>5.2</v>
      </c>
      <c r="F8" s="28" t="n">
        <v>9</v>
      </c>
      <c r="G8" s="29" t="n">
        <v>14.2</v>
      </c>
      <c r="H8" s="23">
        <f>$C$7</f>
        <v/>
      </c>
    </row>
    <row r="9" ht="24" customHeight="1">
      <c r="C9" s="19" t="inlineStr">
        <is>
          <t>UK</t>
        </is>
      </c>
      <c r="D9" s="18" t="inlineStr">
        <is>
          <t>1 set (3 pairs)</t>
        </is>
      </c>
      <c r="E9" s="20" t="n">
        <v>2.6</v>
      </c>
      <c r="F9" s="21" t="n">
        <v>4.5</v>
      </c>
      <c r="G9" s="22" t="n">
        <v>7.1</v>
      </c>
      <c r="H9" s="23">
        <f>$C$9</f>
        <v/>
      </c>
    </row>
    <row r="10" ht="24" customHeight="1">
      <c r="C10" s="25" t="n"/>
      <c r="D10" s="26" t="inlineStr">
        <is>
          <t>2 sets</t>
        </is>
      </c>
      <c r="E10" s="27" t="n">
        <v>5.2</v>
      </c>
      <c r="F10" s="28" t="n">
        <v>6.2</v>
      </c>
      <c r="G10" s="29" t="n">
        <v>11.4</v>
      </c>
      <c r="H10" s="23">
        <f>$C$9</f>
        <v/>
      </c>
    </row>
    <row r="11" ht="24" customHeight="1">
      <c r="C11" s="19" t="inlineStr">
        <is>
          <t>New Zealand</t>
        </is>
      </c>
      <c r="D11" s="18" t="inlineStr">
        <is>
          <t>1 set (3 pairs)</t>
        </is>
      </c>
      <c r="E11" s="20" t="n">
        <v>2.6</v>
      </c>
      <c r="F11" s="21" t="n">
        <v>6.2</v>
      </c>
      <c r="G11" s="22" t="n">
        <v>8.699999999999999</v>
      </c>
      <c r="H11" s="23">
        <f>$C$11</f>
        <v/>
      </c>
    </row>
    <row r="12" ht="24" customHeight="1">
      <c r="C12" s="25" t="n"/>
      <c r="D12" s="26" t="inlineStr">
        <is>
          <t>2 sets</t>
        </is>
      </c>
      <c r="E12" s="27" t="n">
        <v>5.2</v>
      </c>
      <c r="F12" s="28" t="n">
        <v>9.4</v>
      </c>
      <c r="G12" s="29" t="n">
        <v>14.5</v>
      </c>
      <c r="H12" s="23">
        <f>$C$11</f>
        <v/>
      </c>
    </row>
    <row r="13" ht="24" customHeight="1">
      <c r="C13" s="19" t="inlineStr">
        <is>
          <t>Australia</t>
        </is>
      </c>
      <c r="D13" s="18" t="inlineStr">
        <is>
          <t>1 set (3 pairs)</t>
        </is>
      </c>
      <c r="E13" s="20" t="n">
        <v>2.6</v>
      </c>
      <c r="F13" s="21" t="n">
        <v>6.5</v>
      </c>
      <c r="G13" s="22" t="n">
        <v>9.1</v>
      </c>
      <c r="H13" s="23">
        <f>$C$13</f>
        <v/>
      </c>
    </row>
    <row r="14" ht="24" customHeight="1">
      <c r="C14" s="25" t="n"/>
      <c r="D14" s="26" t="inlineStr">
        <is>
          <t>2 sets</t>
        </is>
      </c>
      <c r="E14" s="27" t="n">
        <v>5.2</v>
      </c>
      <c r="F14" s="28" t="n">
        <v>9.800000000000001</v>
      </c>
      <c r="G14" s="29" t="n">
        <v>14.9</v>
      </c>
      <c r="H14" s="23">
        <f>$C$13</f>
        <v/>
      </c>
    </row>
    <row r="15" ht="24" customHeight="1">
      <c r="C15" s="19" t="inlineStr">
        <is>
          <t>Canada</t>
        </is>
      </c>
      <c r="D15" s="18" t="inlineStr">
        <is>
          <t>1 set (3 pairs)</t>
        </is>
      </c>
      <c r="E15" s="20" t="n">
        <v>2.6</v>
      </c>
      <c r="F15" s="21" t="n">
        <v>5.5</v>
      </c>
      <c r="G15" s="22" t="n">
        <v>8.1</v>
      </c>
      <c r="H15" s="23">
        <f>$C$15</f>
        <v/>
      </c>
    </row>
    <row r="16" ht="24" customHeight="1">
      <c r="C16" s="25" t="n"/>
      <c r="D16" s="26" t="inlineStr">
        <is>
          <t>2 sets</t>
        </is>
      </c>
      <c r="E16" s="27" t="n">
        <v>5.2</v>
      </c>
      <c r="F16" s="28" t="n">
        <v>7.5</v>
      </c>
      <c r="G16" s="29" t="n">
        <v>12.6</v>
      </c>
      <c r="H16" s="23">
        <f>$C$15</f>
        <v/>
      </c>
    </row>
    <row r="17" ht="24" customHeight="1">
      <c r="C17" s="19" t="inlineStr">
        <is>
          <t>Norway</t>
        </is>
      </c>
      <c r="D17" s="18" t="inlineStr">
        <is>
          <t>1 set (3 pairs)</t>
        </is>
      </c>
      <c r="E17" s="20" t="n">
        <v>2.6</v>
      </c>
      <c r="F17" s="21" t="n">
        <v>6.6</v>
      </c>
      <c r="G17" s="22" t="n">
        <v>9.199999999999999</v>
      </c>
      <c r="H17" s="23">
        <f>$C$17</f>
        <v/>
      </c>
    </row>
    <row r="18" ht="24" customHeight="1">
      <c r="C18" s="25" t="n"/>
      <c r="D18" s="26" t="inlineStr">
        <is>
          <t>2 sets</t>
        </is>
      </c>
      <c r="E18" s="27" t="n">
        <v>5.2</v>
      </c>
      <c r="F18" s="28" t="n">
        <v>8.800000000000001</v>
      </c>
      <c r="G18" s="29" t="n">
        <v>13.9</v>
      </c>
      <c r="H18" s="23">
        <f>$C$17</f>
        <v/>
      </c>
    </row>
    <row r="19" ht="24" customHeight="1">
      <c r="C19" s="19" t="inlineStr">
        <is>
          <t>Denmark</t>
        </is>
      </c>
      <c r="D19" s="18" t="inlineStr">
        <is>
          <t>1 set (3 pairs)</t>
        </is>
      </c>
      <c r="E19" s="20" t="n">
        <v>2.6</v>
      </c>
      <c r="F19" s="21" t="n">
        <v>6.8</v>
      </c>
      <c r="G19" s="22" t="n">
        <v>9.4</v>
      </c>
      <c r="H19" s="23">
        <f>$C$19</f>
        <v/>
      </c>
    </row>
    <row r="20" ht="24" customHeight="1">
      <c r="C20" s="25" t="n"/>
      <c r="D20" s="26" t="inlineStr">
        <is>
          <t>2 sets</t>
        </is>
      </c>
      <c r="E20" s="27" t="n">
        <v>5.2</v>
      </c>
      <c r="F20" s="28" t="n">
        <v>8.9</v>
      </c>
      <c r="G20" s="29" t="n">
        <v>14</v>
      </c>
      <c r="H20" s="23">
        <f>$C$19</f>
        <v/>
      </c>
    </row>
    <row r="21" ht="24" customHeight="1">
      <c r="C21" s="19" t="inlineStr">
        <is>
          <t>Finland</t>
        </is>
      </c>
      <c r="D21" s="18" t="inlineStr">
        <is>
          <t>1 set (3 pairs)</t>
        </is>
      </c>
      <c r="E21" s="20" t="n">
        <v>2.6</v>
      </c>
      <c r="F21" s="21" t="n">
        <v>7.3</v>
      </c>
      <c r="G21" s="22" t="n">
        <v>9.9</v>
      </c>
      <c r="H21" s="23">
        <f>$C$21</f>
        <v/>
      </c>
    </row>
    <row r="22" ht="24" customHeight="1">
      <c r="C22" s="25" t="n"/>
      <c r="D22" s="26" t="inlineStr">
        <is>
          <t>2 sets</t>
        </is>
      </c>
      <c r="E22" s="27" t="n">
        <v>5.2</v>
      </c>
      <c r="F22" s="28" t="n">
        <v>9.4</v>
      </c>
      <c r="G22" s="29" t="n">
        <v>14.5</v>
      </c>
      <c r="H22" s="23">
        <f>$C$21</f>
        <v/>
      </c>
    </row>
    <row r="24" ht="30" customHeight="1">
      <c r="B24" s="30" t="inlineStr">
        <is>
          <t>➕  NEW COUNTRIES — type the country in the grey box, then cost and shipping. Price fills itself (overwrite it with the supplier price if it differs).</t>
        </is>
      </c>
    </row>
    <row r="25" ht="22" customHeight="1">
      <c r="C25" s="31" t="n"/>
      <c r="D25" s="32" t="inlineStr">
        <is>
          <t>1 set (3 pairs)</t>
        </is>
      </c>
      <c r="E25" s="33" t="n"/>
      <c r="F25" s="21" t="n"/>
      <c r="G25" s="34">
        <f>IF(COUNT(E25:F25)=2,E25+F25,"")</f>
        <v/>
      </c>
      <c r="H25" s="23">
        <f>IF($C$25="","",$C$25)</f>
        <v/>
      </c>
    </row>
    <row r="26" ht="22" customHeight="1">
      <c r="C26" s="25" t="n"/>
      <c r="D26" s="35" t="inlineStr">
        <is>
          <t>2 sets</t>
        </is>
      </c>
      <c r="E26" s="36" t="n"/>
      <c r="F26" s="28" t="n"/>
      <c r="G26" s="37">
        <f>IF(COUNT(E26:F26)=2,E26+F26,"")</f>
        <v/>
      </c>
      <c r="H26" s="23">
        <f>IF($C$25="","",$C$25)</f>
        <v/>
      </c>
    </row>
    <row r="27" ht="22" customHeight="1">
      <c r="C27" s="31" t="n"/>
      <c r="D27" s="32" t="inlineStr">
        <is>
          <t>1 set (3 pairs)</t>
        </is>
      </c>
      <c r="E27" s="33" t="n"/>
      <c r="F27" s="21" t="n"/>
      <c r="G27" s="34">
        <f>IF(COUNT(E27:F27)=2,E27+F27,"")</f>
        <v/>
      </c>
      <c r="H27" s="23">
        <f>IF($C$27="","",$C$27)</f>
        <v/>
      </c>
    </row>
    <row r="28" ht="22" customHeight="1">
      <c r="C28" s="25" t="n"/>
      <c r="D28" s="35" t="inlineStr">
        <is>
          <t>2 sets</t>
        </is>
      </c>
      <c r="E28" s="36" t="n"/>
      <c r="F28" s="28" t="n"/>
      <c r="G28" s="37">
        <f>IF(COUNT(E28:F28)=2,E28+F28,"")</f>
        <v/>
      </c>
      <c r="H28" s="23">
        <f>IF($C$27="","",$C$27)</f>
        <v/>
      </c>
    </row>
    <row r="29" ht="22" customHeight="1">
      <c r="C29" s="31" t="n"/>
      <c r="D29" s="32" t="inlineStr">
        <is>
          <t>1 set (3 pairs)</t>
        </is>
      </c>
      <c r="E29" s="33" t="n"/>
      <c r="F29" s="21" t="n"/>
      <c r="G29" s="34">
        <f>IF(COUNT(E29:F29)=2,E29+F29,"")</f>
        <v/>
      </c>
      <c r="H29" s="23">
        <f>IF($C$29="","",$C$29)</f>
        <v/>
      </c>
    </row>
    <row r="30" ht="22" customHeight="1">
      <c r="C30" s="25" t="n"/>
      <c r="D30" s="35" t="inlineStr">
        <is>
          <t>2 sets</t>
        </is>
      </c>
      <c r="E30" s="36" t="n"/>
      <c r="F30" s="28" t="n"/>
      <c r="G30" s="37">
        <f>IF(COUNT(E30:F30)=2,E30+F30,"")</f>
        <v/>
      </c>
      <c r="H30" s="23">
        <f>IF($C$29="","",$C$29)</f>
        <v/>
      </c>
    </row>
    <row r="31" ht="22" customHeight="1">
      <c r="C31" s="31" t="n"/>
      <c r="D31" s="32" t="inlineStr">
        <is>
          <t>1 set (3 pairs)</t>
        </is>
      </c>
      <c r="E31" s="33" t="n"/>
      <c r="F31" s="21" t="n"/>
      <c r="G31" s="34">
        <f>IF(COUNT(E31:F31)=2,E31+F31,"")</f>
        <v/>
      </c>
      <c r="H31" s="23">
        <f>IF($C$31="","",$C$31)</f>
        <v/>
      </c>
    </row>
    <row r="32" ht="22" customHeight="1">
      <c r="C32" s="25" t="n"/>
      <c r="D32" s="35" t="inlineStr">
        <is>
          <t>2 sets</t>
        </is>
      </c>
      <c r="E32" s="36" t="n"/>
      <c r="F32" s="28" t="n"/>
      <c r="G32" s="37">
        <f>IF(COUNT(E32:F32)=2,E32+F32,"")</f>
        <v/>
      </c>
      <c r="H32" s="23">
        <f>IF($C$31="","",$C$31)</f>
        <v/>
      </c>
    </row>
    <row r="33" ht="22" customHeight="1">
      <c r="C33" s="31" t="n"/>
      <c r="D33" s="32" t="inlineStr">
        <is>
          <t>1 set (3 pairs)</t>
        </is>
      </c>
      <c r="E33" s="33" t="n"/>
      <c r="F33" s="21" t="n"/>
      <c r="G33" s="34">
        <f>IF(COUNT(E33:F33)=2,E33+F33,"")</f>
        <v/>
      </c>
      <c r="H33" s="23">
        <f>IF($C$33="","",$C$33)</f>
        <v/>
      </c>
    </row>
    <row r="34" ht="22" customHeight="1">
      <c r="C34" s="25" t="n"/>
      <c r="D34" s="35" t="inlineStr">
        <is>
          <t>2 sets</t>
        </is>
      </c>
      <c r="E34" s="36" t="n"/>
      <c r="F34" s="28" t="n"/>
      <c r="G34" s="37">
        <f>IF(COUNT(E34:F34)=2,E34+F34,"")</f>
        <v/>
      </c>
      <c r="H34" s="23">
        <f>IF($C$33="","",$C$33)</f>
        <v/>
      </c>
    </row>
    <row r="35" ht="22" customHeight="1">
      <c r="C35" s="31" t="n"/>
      <c r="D35" s="32" t="inlineStr">
        <is>
          <t>1 set (3 pairs)</t>
        </is>
      </c>
      <c r="E35" s="33" t="n"/>
      <c r="F35" s="21" t="n"/>
      <c r="G35" s="34">
        <f>IF(COUNT(E35:F35)=2,E35+F35,"")</f>
        <v/>
      </c>
      <c r="H35" s="23">
        <f>IF($C$35="","",$C$35)</f>
        <v/>
      </c>
    </row>
    <row r="36" ht="22" customHeight="1">
      <c r="C36" s="25" t="n"/>
      <c r="D36" s="35" t="inlineStr">
        <is>
          <t>2 sets</t>
        </is>
      </c>
      <c r="E36" s="36" t="n"/>
      <c r="F36" s="28" t="n"/>
      <c r="G36" s="37">
        <f>IF(COUNT(E36:F36)=2,E36+F36,"")</f>
        <v/>
      </c>
      <c r="H36" s="23">
        <f>IF($C$35="","",$C$35)</f>
        <v/>
      </c>
    </row>
    <row r="37" ht="22" customHeight="1">
      <c r="C37" s="31" t="n"/>
      <c r="D37" s="32" t="inlineStr">
        <is>
          <t>1 set (3 pairs)</t>
        </is>
      </c>
      <c r="E37" s="33" t="n"/>
      <c r="F37" s="21" t="n"/>
      <c r="G37" s="34">
        <f>IF(COUNT(E37:F37)=2,E37+F37,"")</f>
        <v/>
      </c>
      <c r="H37" s="23">
        <f>IF($C$37="","",$C$37)</f>
        <v/>
      </c>
    </row>
    <row r="38" ht="22" customHeight="1">
      <c r="C38" s="25" t="n"/>
      <c r="D38" s="35" t="inlineStr">
        <is>
          <t>2 sets</t>
        </is>
      </c>
      <c r="E38" s="36" t="n"/>
      <c r="F38" s="28" t="n"/>
      <c r="G38" s="37">
        <f>IF(COUNT(E38:F38)=2,E38+F38,"")</f>
        <v/>
      </c>
      <c r="H38" s="23">
        <f>IF($C$37="","",$C$37)</f>
        <v/>
      </c>
    </row>
    <row r="39" ht="22" customHeight="1">
      <c r="C39" s="31" t="n"/>
      <c r="D39" s="32" t="inlineStr">
        <is>
          <t>1 set (3 pairs)</t>
        </is>
      </c>
      <c r="E39" s="33" t="n"/>
      <c r="F39" s="21" t="n"/>
      <c r="G39" s="34">
        <f>IF(COUNT(E39:F39)=2,E39+F39,"")</f>
        <v/>
      </c>
      <c r="H39" s="23">
        <f>IF($C$39="","",$C$39)</f>
        <v/>
      </c>
    </row>
    <row r="40" ht="22" customHeight="1">
      <c r="C40" s="25" t="n"/>
      <c r="D40" s="35" t="inlineStr">
        <is>
          <t>2 sets</t>
        </is>
      </c>
      <c r="E40" s="36" t="n"/>
      <c r="F40" s="28" t="n"/>
      <c r="G40" s="37">
        <f>IF(COUNT(E40:F40)=2,E40+F40,"")</f>
        <v/>
      </c>
      <c r="H40" s="23">
        <f>IF($C$39="","",$C$39)</f>
        <v/>
      </c>
    </row>
    <row r="41" ht="22" customHeight="1">
      <c r="C41" s="31" t="n"/>
      <c r="D41" s="32" t="inlineStr">
        <is>
          <t>1 set (3 pairs)</t>
        </is>
      </c>
      <c r="E41" s="33" t="n"/>
      <c r="F41" s="21" t="n"/>
      <c r="G41" s="34">
        <f>IF(COUNT(E41:F41)=2,E41+F41,"")</f>
        <v/>
      </c>
      <c r="H41" s="23">
        <f>IF($C$41="","",$C$41)</f>
        <v/>
      </c>
    </row>
    <row r="42" ht="22" customHeight="1">
      <c r="C42" s="25" t="n"/>
      <c r="D42" s="35" t="inlineStr">
        <is>
          <t>2 sets</t>
        </is>
      </c>
      <c r="E42" s="36" t="n"/>
      <c r="F42" s="28" t="n"/>
      <c r="G42" s="37">
        <f>IF(COUNT(E42:F42)=2,E42+F42,"")</f>
        <v/>
      </c>
      <c r="H42" s="23">
        <f>IF($C$41="","",$C$41)</f>
        <v/>
      </c>
    </row>
    <row r="43" ht="22" customHeight="1">
      <c r="C43" s="31" t="n"/>
      <c r="D43" s="32" t="inlineStr">
        <is>
          <t>1 set (3 pairs)</t>
        </is>
      </c>
      <c r="E43" s="33" t="n"/>
      <c r="F43" s="21" t="n"/>
      <c r="G43" s="34">
        <f>IF(COUNT(E43:F43)=2,E43+F43,"")</f>
        <v/>
      </c>
      <c r="H43" s="23">
        <f>IF($C$43="","",$C$43)</f>
        <v/>
      </c>
    </row>
    <row r="44" ht="22" customHeight="1">
      <c r="C44" s="25" t="n"/>
      <c r="D44" s="35" t="inlineStr">
        <is>
          <t>2 sets</t>
        </is>
      </c>
      <c r="E44" s="36" t="n"/>
      <c r="F44" s="28" t="n"/>
      <c r="G44" s="37">
        <f>IF(COUNT(E44:F44)=2,E44+F44,"")</f>
        <v/>
      </c>
      <c r="H44" s="23">
        <f>IF($C$43="","",$C$43)</f>
        <v/>
      </c>
    </row>
    <row r="45" ht="22" customHeight="1">
      <c r="C45" s="31" t="n"/>
      <c r="D45" s="32" t="inlineStr">
        <is>
          <t>1 set (3 pairs)</t>
        </is>
      </c>
      <c r="E45" s="33" t="n"/>
      <c r="F45" s="21" t="n"/>
      <c r="G45" s="34">
        <f>IF(COUNT(E45:F45)=2,E45+F45,"")</f>
        <v/>
      </c>
      <c r="H45" s="23">
        <f>IF($C$45="","",$C$45)</f>
        <v/>
      </c>
    </row>
    <row r="46" ht="22" customHeight="1">
      <c r="C46" s="25" t="n"/>
      <c r="D46" s="35" t="inlineStr">
        <is>
          <t>2 sets</t>
        </is>
      </c>
      <c r="E46" s="36" t="n"/>
      <c r="F46" s="28" t="n"/>
      <c r="G46" s="37">
        <f>IF(COUNT(E46:F46)=2,E46+F46,"")</f>
        <v/>
      </c>
      <c r="H46" s="23">
        <f>IF($C$45="","",$C$45)</f>
        <v/>
      </c>
    </row>
    <row r="47" ht="22" customHeight="1">
      <c r="C47" s="31" t="n"/>
      <c r="D47" s="32" t="inlineStr">
        <is>
          <t>1 set (3 pairs)</t>
        </is>
      </c>
      <c r="E47" s="33" t="n"/>
      <c r="F47" s="21" t="n"/>
      <c r="G47" s="34">
        <f>IF(COUNT(E47:F47)=2,E47+F47,"")</f>
        <v/>
      </c>
      <c r="H47" s="23">
        <f>IF($C$47="","",$C$47)</f>
        <v/>
      </c>
    </row>
    <row r="48" ht="22" customHeight="1">
      <c r="C48" s="25" t="n"/>
      <c r="D48" s="35" t="inlineStr">
        <is>
          <t>2 sets</t>
        </is>
      </c>
      <c r="E48" s="36" t="n"/>
      <c r="F48" s="28" t="n"/>
      <c r="G48" s="37">
        <f>IF(COUNT(E48:F48)=2,E48+F48,"")</f>
        <v/>
      </c>
      <c r="H48" s="23">
        <f>IF($C$47="","",$C$47)</f>
        <v/>
      </c>
    </row>
    <row r="49" ht="22" customHeight="1">
      <c r="C49" s="31" t="n"/>
      <c r="D49" s="32" t="inlineStr">
        <is>
          <t>1 set (3 pairs)</t>
        </is>
      </c>
      <c r="E49" s="33" t="n"/>
      <c r="F49" s="21" t="n"/>
      <c r="G49" s="34">
        <f>IF(COUNT(E49:F49)=2,E49+F49,"")</f>
        <v/>
      </c>
      <c r="H49" s="23">
        <f>IF($C$49="","",$C$49)</f>
        <v/>
      </c>
    </row>
    <row r="50" ht="22" customHeight="1">
      <c r="C50" s="25" t="n"/>
      <c r="D50" s="35" t="inlineStr">
        <is>
          <t>2 sets</t>
        </is>
      </c>
      <c r="E50" s="36" t="n"/>
      <c r="F50" s="28" t="n"/>
      <c r="G50" s="37">
        <f>IF(COUNT(E50:F50)=2,E50+F50,"")</f>
        <v/>
      </c>
      <c r="H50" s="23">
        <f>IF($C$49="","",$C$49)</f>
        <v/>
      </c>
    </row>
    <row r="51" ht="22" customHeight="1">
      <c r="C51" s="31" t="n"/>
      <c r="D51" s="32" t="inlineStr">
        <is>
          <t>1 set (3 pairs)</t>
        </is>
      </c>
      <c r="E51" s="33" t="n"/>
      <c r="F51" s="21" t="n"/>
      <c r="G51" s="34">
        <f>IF(COUNT(E51:F51)=2,E51+F51,"")</f>
        <v/>
      </c>
      <c r="H51" s="23">
        <f>IF($C$51="","",$C$51)</f>
        <v/>
      </c>
    </row>
    <row r="52" ht="22" customHeight="1">
      <c r="C52" s="25" t="n"/>
      <c r="D52" s="35" t="inlineStr">
        <is>
          <t>2 sets</t>
        </is>
      </c>
      <c r="E52" s="36" t="n"/>
      <c r="F52" s="28" t="n"/>
      <c r="G52" s="37">
        <f>IF(COUNT(E52:F52)=2,E52+F52,"")</f>
        <v/>
      </c>
      <c r="H52" s="23">
        <f>IF($C$51="","",$C$51)</f>
        <v/>
      </c>
    </row>
    <row r="53" ht="22" customHeight="1">
      <c r="C53" s="31" t="n"/>
      <c r="D53" s="32" t="inlineStr">
        <is>
          <t>1 set (3 pairs)</t>
        </is>
      </c>
      <c r="E53" s="33" t="n"/>
      <c r="F53" s="21" t="n"/>
      <c r="G53" s="34">
        <f>IF(COUNT(E53:F53)=2,E53+F53,"")</f>
        <v/>
      </c>
      <c r="H53" s="23">
        <f>IF($C$53="","",$C$53)</f>
        <v/>
      </c>
    </row>
    <row r="54" ht="22" customHeight="1">
      <c r="C54" s="25" t="n"/>
      <c r="D54" s="35" t="inlineStr">
        <is>
          <t>2 sets</t>
        </is>
      </c>
      <c r="E54" s="36" t="n"/>
      <c r="F54" s="28" t="n"/>
      <c r="G54" s="37">
        <f>IF(COUNT(E54:F54)=2,E54+F54,"")</f>
        <v/>
      </c>
      <c r="H54" s="23">
        <f>IF($C$53="","",$C$53)</f>
        <v/>
      </c>
    </row>
    <row r="55" ht="22" customHeight="1">
      <c r="C55" s="31" t="n"/>
      <c r="D55" s="32" t="inlineStr">
        <is>
          <t>1 set (3 pairs)</t>
        </is>
      </c>
      <c r="E55" s="33" t="n"/>
      <c r="F55" s="21" t="n"/>
      <c r="G55" s="34">
        <f>IF(COUNT(E55:F55)=2,E55+F55,"")</f>
        <v/>
      </c>
      <c r="H55" s="23">
        <f>IF($C$55="","",$C$55)</f>
        <v/>
      </c>
    </row>
    <row r="56" ht="22" customHeight="1">
      <c r="C56" s="25" t="n"/>
      <c r="D56" s="35" t="inlineStr">
        <is>
          <t>2 sets</t>
        </is>
      </c>
      <c r="E56" s="36" t="n"/>
      <c r="F56" s="28" t="n"/>
      <c r="G56" s="37">
        <f>IF(COUNT(E56:F56)=2,E56+F56,"")</f>
        <v/>
      </c>
      <c r="H56" s="23">
        <f>IF($C$55="","",$C$55)</f>
        <v/>
      </c>
    </row>
    <row r="57" ht="22" customHeight="1">
      <c r="C57" s="31" t="n"/>
      <c r="D57" s="32" t="inlineStr">
        <is>
          <t>1 set (3 pairs)</t>
        </is>
      </c>
      <c r="E57" s="33" t="n"/>
      <c r="F57" s="21" t="n"/>
      <c r="G57" s="34">
        <f>IF(COUNT(E57:F57)=2,E57+F57,"")</f>
        <v/>
      </c>
      <c r="H57" s="23">
        <f>IF($C$57="","",$C$57)</f>
        <v/>
      </c>
    </row>
    <row r="58" ht="22" customHeight="1">
      <c r="C58" s="25" t="n"/>
      <c r="D58" s="35" t="inlineStr">
        <is>
          <t>2 sets</t>
        </is>
      </c>
      <c r="E58" s="36" t="n"/>
      <c r="F58" s="28" t="n"/>
      <c r="G58" s="37">
        <f>IF(COUNT(E58:F58)=2,E58+F58,"")</f>
        <v/>
      </c>
      <c r="H58" s="23">
        <f>IF($C$57="","",$C$57)</f>
        <v/>
      </c>
    </row>
    <row r="59" ht="22" customHeight="1">
      <c r="C59" s="31" t="n"/>
      <c r="D59" s="32" t="inlineStr">
        <is>
          <t>1 set (3 pairs)</t>
        </is>
      </c>
      <c r="E59" s="33" t="n"/>
      <c r="F59" s="21" t="n"/>
      <c r="G59" s="34">
        <f>IF(COUNT(E59:F59)=2,E59+F59,"")</f>
        <v/>
      </c>
      <c r="H59" s="23">
        <f>IF($C$59="","",$C$59)</f>
        <v/>
      </c>
    </row>
    <row r="60" ht="22" customHeight="1">
      <c r="C60" s="25" t="n"/>
      <c r="D60" s="35" t="inlineStr">
        <is>
          <t>2 sets</t>
        </is>
      </c>
      <c r="E60" s="36" t="n"/>
      <c r="F60" s="28" t="n"/>
      <c r="G60" s="37">
        <f>IF(COUNT(E60:F60)=2,E60+F60,"")</f>
        <v/>
      </c>
      <c r="H60" s="23">
        <f>IF($C$59="","",$C$59)</f>
        <v/>
      </c>
    </row>
    <row r="61" ht="22" customHeight="1">
      <c r="C61" s="31" t="n"/>
      <c r="D61" s="32" t="inlineStr">
        <is>
          <t>1 set (3 pairs)</t>
        </is>
      </c>
      <c r="E61" s="33" t="n"/>
      <c r="F61" s="21" t="n"/>
      <c r="G61" s="34">
        <f>IF(COUNT(E61:F61)=2,E61+F61,"")</f>
        <v/>
      </c>
      <c r="H61" s="23">
        <f>IF($C$61="","",$C$61)</f>
        <v/>
      </c>
    </row>
    <row r="62" ht="22" customHeight="1">
      <c r="C62" s="25" t="n"/>
      <c r="D62" s="35" t="inlineStr">
        <is>
          <t>2 sets</t>
        </is>
      </c>
      <c r="E62" s="36" t="n"/>
      <c r="F62" s="28" t="n"/>
      <c r="G62" s="37">
        <f>IF(COUNT(E62:F62)=2,E62+F62,"")</f>
        <v/>
      </c>
      <c r="H62" s="23">
        <f>IF($C$61="","",$C$61)</f>
        <v/>
      </c>
    </row>
    <row r="63" ht="22" customHeight="1">
      <c r="C63" s="31" t="n"/>
      <c r="D63" s="32" t="inlineStr">
        <is>
          <t>1 set (3 pairs)</t>
        </is>
      </c>
      <c r="E63" s="33" t="n"/>
      <c r="F63" s="21" t="n"/>
      <c r="G63" s="34">
        <f>IF(COUNT(E63:F63)=2,E63+F63,"")</f>
        <v/>
      </c>
      <c r="H63" s="23">
        <f>IF($C$63="","",$C$63)</f>
        <v/>
      </c>
    </row>
    <row r="64" ht="22" customHeight="1">
      <c r="C64" s="25" t="n"/>
      <c r="D64" s="35" t="inlineStr">
        <is>
          <t>2 sets</t>
        </is>
      </c>
      <c r="E64" s="36" t="n"/>
      <c r="F64" s="28" t="n"/>
      <c r="G64" s="37">
        <f>IF(COUNT(E64:F64)=2,E64+F64,"")</f>
        <v/>
      </c>
      <c r="H64" s="23">
        <f>IF($C$63="","",$C$63)</f>
        <v/>
      </c>
    </row>
  </sheetData>
  <mergeCells count="33">
    <mergeCell ref="B2:G2"/>
    <mergeCell ref="C33:C34"/>
    <mergeCell ref="C29:C30"/>
    <mergeCell ref="B1:G1"/>
    <mergeCell ref="C45:C46"/>
    <mergeCell ref="C63:C64"/>
    <mergeCell ref="C59:C60"/>
    <mergeCell ref="C35:C36"/>
    <mergeCell ref="C9:C10"/>
    <mergeCell ref="C47:C48"/>
    <mergeCell ref="C25:C26"/>
    <mergeCell ref="C41:C42"/>
    <mergeCell ref="C21:C22"/>
    <mergeCell ref="C55:C56"/>
    <mergeCell ref="C31:C32"/>
    <mergeCell ref="C11:C12"/>
    <mergeCell ref="B5:B22"/>
    <mergeCell ref="B24:G24"/>
    <mergeCell ref="C43:C44"/>
    <mergeCell ref="C61:C62"/>
    <mergeCell ref="C51:C52"/>
    <mergeCell ref="C57:C58"/>
    <mergeCell ref="C17:C18"/>
    <mergeCell ref="C27:C28"/>
    <mergeCell ref="C7:C8"/>
    <mergeCell ref="C39:C40"/>
    <mergeCell ref="C19:C20"/>
    <mergeCell ref="C13:C14"/>
    <mergeCell ref="C53:C54"/>
    <mergeCell ref="C37:C38"/>
    <mergeCell ref="C15:C16"/>
    <mergeCell ref="C49:C50"/>
    <mergeCell ref="C5:C6"/>
  </mergeCell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EF4444"/>
    <outlinePr summaryBelow="1" summaryRight="1"/>
    <pageSetUpPr fitToPage="1"/>
  </sheetPr>
  <dimension ref="B1:H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0" customWidth="1" min="4" max="4"/>
    <col width="13" customWidth="1" min="5" max="5"/>
    <col width="18" customWidth="1" min="6" max="6"/>
    <col width="15" customWidth="1" min="7" max="7"/>
    <col hidden="1" width="12" customWidth="1" min="8" max="8"/>
  </cols>
  <sheetData>
    <row r="1" ht="38" customHeight="1">
      <c r="B1" s="1" t="inlineStr">
        <is>
          <t>PIZZA SOCKS — COGS per country</t>
        </is>
      </c>
      <c r="C1" s="2" t="n"/>
      <c r="D1" s="2" t="n"/>
      <c r="E1" s="2" t="n"/>
      <c r="F1" s="2" t="n"/>
      <c r="G1" s="2" t="n"/>
    </row>
    <row r="2" ht="20" customHeight="1">
      <c r="B2" s="3" t="inlineStr">
        <is>
          <t>Supplier quote, read 2026-09-29. All amounts in USD per order. Blue numbers = supplier quote. Grey rows at the bottom = add a new country.</t>
        </is>
      </c>
    </row>
    <row r="4" ht="34" customHeight="1">
      <c r="B4" s="4" t="inlineStr">
        <is>
          <t>Picture</t>
        </is>
      </c>
      <c r="C4" s="4" t="inlineStr">
        <is>
          <t>Country</t>
        </is>
      </c>
      <c r="D4" s="4" t="inlineStr">
        <is>
          <t>Quantity</t>
        </is>
      </c>
      <c r="E4" s="4" t="inlineStr">
        <is>
          <t>COST ($)</t>
        </is>
      </c>
      <c r="F4" s="4" t="inlineStr">
        <is>
          <t>SHIPPING FEE ($)</t>
        </is>
      </c>
      <c r="G4" s="17" t="inlineStr">
        <is>
          <t>PRICE ($)</t>
        </is>
      </c>
    </row>
    <row r="5" ht="24" customHeight="1">
      <c r="B5" s="18" t="n"/>
      <c r="C5" s="19" t="inlineStr">
        <is>
          <t>Sweden</t>
        </is>
      </c>
      <c r="D5" s="18" t="inlineStr">
        <is>
          <t>1 set (4 pairs)</t>
        </is>
      </c>
      <c r="E5" s="20" t="n">
        <v>2.7</v>
      </c>
      <c r="F5" s="21" t="n">
        <v>5.4</v>
      </c>
      <c r="G5" s="22" t="n">
        <v>8.1</v>
      </c>
      <c r="H5" s="23">
        <f>$C$5</f>
        <v/>
      </c>
    </row>
    <row r="6" ht="24" customHeight="1">
      <c r="C6" s="25" t="n"/>
      <c r="D6" s="26" t="inlineStr">
        <is>
          <t>2 sets</t>
        </is>
      </c>
      <c r="E6" s="27" t="n">
        <v>5.4</v>
      </c>
      <c r="F6" s="28" t="n">
        <v>7.7</v>
      </c>
      <c r="G6" s="29" t="n">
        <v>13.1</v>
      </c>
      <c r="H6" s="23">
        <f>$C$5</f>
        <v/>
      </c>
    </row>
    <row r="7" ht="24" customHeight="1">
      <c r="C7" s="19" t="inlineStr">
        <is>
          <t>USA</t>
        </is>
      </c>
      <c r="D7" s="18" t="inlineStr">
        <is>
          <t>1 set (4 pairs)</t>
        </is>
      </c>
      <c r="E7" s="20" t="n">
        <v>2.7</v>
      </c>
      <c r="F7" s="21" t="n">
        <v>7.1</v>
      </c>
      <c r="G7" s="22" t="n">
        <v>9.800000000000001</v>
      </c>
      <c r="H7" s="23">
        <f>$C$7</f>
        <v/>
      </c>
    </row>
    <row r="8" ht="24" customHeight="1">
      <c r="C8" s="25" t="n"/>
      <c r="D8" s="26" t="inlineStr">
        <is>
          <t>2 sets</t>
        </is>
      </c>
      <c r="E8" s="27" t="n">
        <v>5.4</v>
      </c>
      <c r="F8" s="28" t="n">
        <v>10.7</v>
      </c>
      <c r="G8" s="29" t="n">
        <v>16.1</v>
      </c>
      <c r="H8" s="23">
        <f>$C$7</f>
        <v/>
      </c>
    </row>
    <row r="9" ht="24" customHeight="1">
      <c r="C9" s="19" t="inlineStr">
        <is>
          <t>UK</t>
        </is>
      </c>
      <c r="D9" s="18" t="inlineStr">
        <is>
          <t>1 set (4 pairs)</t>
        </is>
      </c>
      <c r="E9" s="20" t="n">
        <v>2.7</v>
      </c>
      <c r="F9" s="21" t="n">
        <v>4.9</v>
      </c>
      <c r="G9" s="22" t="n">
        <v>7.6</v>
      </c>
      <c r="H9" s="23">
        <f>$C$9</f>
        <v/>
      </c>
    </row>
    <row r="10" ht="24" customHeight="1">
      <c r="C10" s="25" t="n"/>
      <c r="D10" s="26" t="inlineStr">
        <is>
          <t>2 sets</t>
        </is>
      </c>
      <c r="E10" s="27" t="n">
        <v>5.4</v>
      </c>
      <c r="F10" s="28" t="n">
        <v>7</v>
      </c>
      <c r="G10" s="29" t="n">
        <v>12.4</v>
      </c>
      <c r="H10" s="23">
        <f>$C$9</f>
        <v/>
      </c>
    </row>
    <row r="11" ht="24" customHeight="1">
      <c r="C11" s="19" t="inlineStr">
        <is>
          <t>New Zealand</t>
        </is>
      </c>
      <c r="D11" s="18" t="inlineStr">
        <is>
          <t>1 set (4 pairs)</t>
        </is>
      </c>
      <c r="E11" s="20" t="n">
        <v>2.7</v>
      </c>
      <c r="F11" s="21" t="n">
        <v>7.2</v>
      </c>
      <c r="G11" s="22" t="n">
        <v>9.9</v>
      </c>
      <c r="H11" s="23">
        <f>$C$11</f>
        <v/>
      </c>
    </row>
    <row r="12" ht="24" customHeight="1">
      <c r="C12" s="25" t="n"/>
      <c r="D12" s="26" t="inlineStr">
        <is>
          <t>2 sets</t>
        </is>
      </c>
      <c r="E12" s="27" t="n">
        <v>5.4</v>
      </c>
      <c r="F12" s="28" t="n">
        <v>11.4</v>
      </c>
      <c r="G12" s="29" t="n">
        <v>16.8</v>
      </c>
      <c r="H12" s="23">
        <f>$C$11</f>
        <v/>
      </c>
    </row>
    <row r="13" ht="24" customHeight="1">
      <c r="C13" s="19" t="inlineStr">
        <is>
          <t>Australia</t>
        </is>
      </c>
      <c r="D13" s="18" t="inlineStr">
        <is>
          <t>1 set (4 pairs)</t>
        </is>
      </c>
      <c r="E13" s="20" t="n">
        <v>2.7</v>
      </c>
      <c r="F13" s="21" t="n">
        <v>7.6</v>
      </c>
      <c r="G13" s="22" t="n">
        <v>10.3</v>
      </c>
      <c r="H13" s="23">
        <f>$C$13</f>
        <v/>
      </c>
    </row>
    <row r="14" ht="24" customHeight="1">
      <c r="C14" s="25" t="n"/>
      <c r="D14" s="26" t="inlineStr">
        <is>
          <t>2 sets</t>
        </is>
      </c>
      <c r="E14" s="27" t="n">
        <v>5.4</v>
      </c>
      <c r="F14" s="28" t="n">
        <v>11.8</v>
      </c>
      <c r="G14" s="29" t="n">
        <v>17.2</v>
      </c>
      <c r="H14" s="23">
        <f>$C$13</f>
        <v/>
      </c>
    </row>
    <row r="15" ht="24" customHeight="1">
      <c r="C15" s="19" t="inlineStr">
        <is>
          <t>Canada</t>
        </is>
      </c>
      <c r="D15" s="18" t="inlineStr">
        <is>
          <t>1 set (4 pairs)</t>
        </is>
      </c>
      <c r="E15" s="20" t="n">
        <v>2.7</v>
      </c>
      <c r="F15" s="21" t="n">
        <v>6.1</v>
      </c>
      <c r="G15" s="22" t="n">
        <v>8.800000000000001</v>
      </c>
      <c r="H15" s="23">
        <f>$C$15</f>
        <v/>
      </c>
    </row>
    <row r="16" ht="24" customHeight="1">
      <c r="C16" s="25" t="n"/>
      <c r="D16" s="26" t="inlineStr">
        <is>
          <t>2 sets</t>
        </is>
      </c>
      <c r="E16" s="27" t="n">
        <v>5.4</v>
      </c>
      <c r="F16" s="28" t="n">
        <v>8.9</v>
      </c>
      <c r="G16" s="29" t="n">
        <v>14.3</v>
      </c>
      <c r="H16" s="23">
        <f>$C$15</f>
        <v/>
      </c>
    </row>
    <row r="17" ht="24" customHeight="1">
      <c r="C17" s="19" t="inlineStr">
        <is>
          <t>Norway</t>
        </is>
      </c>
      <c r="D17" s="18" t="inlineStr">
        <is>
          <t>1 set (4 pairs)</t>
        </is>
      </c>
      <c r="E17" s="20" t="n">
        <v>2.7</v>
      </c>
      <c r="F17" s="21" t="n">
        <v>6.8</v>
      </c>
      <c r="G17" s="22" t="n">
        <v>9.5</v>
      </c>
      <c r="H17" s="23">
        <f>$C$17</f>
        <v/>
      </c>
    </row>
    <row r="18" ht="24" customHeight="1">
      <c r="C18" s="25" t="n"/>
      <c r="D18" s="26" t="inlineStr">
        <is>
          <t>2 sets</t>
        </is>
      </c>
      <c r="E18" s="27" t="n">
        <v>5.4</v>
      </c>
      <c r="F18" s="28" t="n">
        <v>8.9</v>
      </c>
      <c r="G18" s="29" t="n">
        <v>14.3</v>
      </c>
      <c r="H18" s="23">
        <f>$C$17</f>
        <v/>
      </c>
    </row>
    <row r="19" ht="24" customHeight="1">
      <c r="C19" s="19" t="inlineStr">
        <is>
          <t>Denmark</t>
        </is>
      </c>
      <c r="D19" s="18" t="inlineStr">
        <is>
          <t>1 set (4 pairs)</t>
        </is>
      </c>
      <c r="E19" s="20" t="n">
        <v>2.7</v>
      </c>
      <c r="F19" s="21" t="n">
        <v>6.9</v>
      </c>
      <c r="G19" s="22" t="n">
        <v>9.6</v>
      </c>
      <c r="H19" s="23">
        <f>$C$19</f>
        <v/>
      </c>
    </row>
    <row r="20" ht="24" customHeight="1">
      <c r="C20" s="25" t="n"/>
      <c r="D20" s="26" t="inlineStr">
        <is>
          <t>2 sets</t>
        </is>
      </c>
      <c r="E20" s="27" t="n">
        <v>5.4</v>
      </c>
      <c r="F20" s="28" t="n">
        <v>8.9</v>
      </c>
      <c r="G20" s="29" t="n">
        <v>14.3</v>
      </c>
      <c r="H20" s="23">
        <f>$C$19</f>
        <v/>
      </c>
    </row>
    <row r="21" ht="24" customHeight="1">
      <c r="C21" s="19" t="inlineStr">
        <is>
          <t>Finland</t>
        </is>
      </c>
      <c r="D21" s="18" t="inlineStr">
        <is>
          <t>1 set (4 pairs)</t>
        </is>
      </c>
      <c r="E21" s="20" t="n">
        <v>2.7</v>
      </c>
      <c r="F21" s="21" t="n">
        <v>7.4</v>
      </c>
      <c r="G21" s="22" t="n">
        <v>10.1</v>
      </c>
      <c r="H21" s="23">
        <f>$C$21</f>
        <v/>
      </c>
    </row>
    <row r="22" ht="24" customHeight="1">
      <c r="C22" s="25" t="n"/>
      <c r="D22" s="26" t="inlineStr">
        <is>
          <t>2 sets</t>
        </is>
      </c>
      <c r="E22" s="27" t="n">
        <v>5.4</v>
      </c>
      <c r="F22" s="28" t="n">
        <v>10.5</v>
      </c>
      <c r="G22" s="29" t="n">
        <v>15.9</v>
      </c>
      <c r="H22" s="23">
        <f>$C$21</f>
        <v/>
      </c>
    </row>
    <row r="24" ht="30" customHeight="1">
      <c r="B24" s="30" t="inlineStr">
        <is>
          <t>➕  NEW COUNTRIES — type the country in the grey box, then cost and shipping. Price fills itself (overwrite it with the supplier price if it differs).</t>
        </is>
      </c>
    </row>
    <row r="25" ht="22" customHeight="1">
      <c r="C25" s="31" t="n"/>
      <c r="D25" s="32" t="inlineStr">
        <is>
          <t>1 set (4 pairs)</t>
        </is>
      </c>
      <c r="E25" s="33" t="n"/>
      <c r="F25" s="21" t="n"/>
      <c r="G25" s="34">
        <f>IF(COUNT(E25:F25)=2,E25+F25,"")</f>
        <v/>
      </c>
      <c r="H25" s="23">
        <f>IF($C$25="","",$C$25)</f>
        <v/>
      </c>
    </row>
    <row r="26" ht="22" customHeight="1">
      <c r="C26" s="25" t="n"/>
      <c r="D26" s="35" t="inlineStr">
        <is>
          <t>2 sets</t>
        </is>
      </c>
      <c r="E26" s="36" t="n"/>
      <c r="F26" s="28" t="n"/>
      <c r="G26" s="37">
        <f>IF(COUNT(E26:F26)=2,E26+F26,"")</f>
        <v/>
      </c>
      <c r="H26" s="23">
        <f>IF($C$25="","",$C$25)</f>
        <v/>
      </c>
    </row>
    <row r="27" ht="22" customHeight="1">
      <c r="C27" s="31" t="n"/>
      <c r="D27" s="32" t="inlineStr">
        <is>
          <t>1 set (4 pairs)</t>
        </is>
      </c>
      <c r="E27" s="33" t="n"/>
      <c r="F27" s="21" t="n"/>
      <c r="G27" s="34">
        <f>IF(COUNT(E27:F27)=2,E27+F27,"")</f>
        <v/>
      </c>
      <c r="H27" s="23">
        <f>IF($C$27="","",$C$27)</f>
        <v/>
      </c>
    </row>
    <row r="28" ht="22" customHeight="1">
      <c r="C28" s="25" t="n"/>
      <c r="D28" s="35" t="inlineStr">
        <is>
          <t>2 sets</t>
        </is>
      </c>
      <c r="E28" s="36" t="n"/>
      <c r="F28" s="28" t="n"/>
      <c r="G28" s="37">
        <f>IF(COUNT(E28:F28)=2,E28+F28,"")</f>
        <v/>
      </c>
      <c r="H28" s="23">
        <f>IF($C$27="","",$C$27)</f>
        <v/>
      </c>
    </row>
    <row r="29" ht="22" customHeight="1">
      <c r="C29" s="31" t="n"/>
      <c r="D29" s="32" t="inlineStr">
        <is>
          <t>1 set (4 pairs)</t>
        </is>
      </c>
      <c r="E29" s="33" t="n"/>
      <c r="F29" s="21" t="n"/>
      <c r="G29" s="34">
        <f>IF(COUNT(E29:F29)=2,E29+F29,"")</f>
        <v/>
      </c>
      <c r="H29" s="23">
        <f>IF($C$29="","",$C$29)</f>
        <v/>
      </c>
    </row>
    <row r="30" ht="22" customHeight="1">
      <c r="C30" s="25" t="n"/>
      <c r="D30" s="35" t="inlineStr">
        <is>
          <t>2 sets</t>
        </is>
      </c>
      <c r="E30" s="36" t="n"/>
      <c r="F30" s="28" t="n"/>
      <c r="G30" s="37">
        <f>IF(COUNT(E30:F30)=2,E30+F30,"")</f>
        <v/>
      </c>
      <c r="H30" s="23">
        <f>IF($C$29="","",$C$29)</f>
        <v/>
      </c>
    </row>
    <row r="31" ht="22" customHeight="1">
      <c r="C31" s="31" t="n"/>
      <c r="D31" s="32" t="inlineStr">
        <is>
          <t>1 set (4 pairs)</t>
        </is>
      </c>
      <c r="E31" s="33" t="n"/>
      <c r="F31" s="21" t="n"/>
      <c r="G31" s="34">
        <f>IF(COUNT(E31:F31)=2,E31+F31,"")</f>
        <v/>
      </c>
      <c r="H31" s="23">
        <f>IF($C$31="","",$C$31)</f>
        <v/>
      </c>
    </row>
    <row r="32" ht="22" customHeight="1">
      <c r="C32" s="25" t="n"/>
      <c r="D32" s="35" t="inlineStr">
        <is>
          <t>2 sets</t>
        </is>
      </c>
      <c r="E32" s="36" t="n"/>
      <c r="F32" s="28" t="n"/>
      <c r="G32" s="37">
        <f>IF(COUNT(E32:F32)=2,E32+F32,"")</f>
        <v/>
      </c>
      <c r="H32" s="23">
        <f>IF($C$31="","",$C$31)</f>
        <v/>
      </c>
    </row>
    <row r="33" ht="22" customHeight="1">
      <c r="C33" s="31" t="n"/>
      <c r="D33" s="32" t="inlineStr">
        <is>
          <t>1 set (4 pairs)</t>
        </is>
      </c>
      <c r="E33" s="33" t="n"/>
      <c r="F33" s="21" t="n"/>
      <c r="G33" s="34">
        <f>IF(COUNT(E33:F33)=2,E33+F33,"")</f>
        <v/>
      </c>
      <c r="H33" s="23">
        <f>IF($C$33="","",$C$33)</f>
        <v/>
      </c>
    </row>
    <row r="34" ht="22" customHeight="1">
      <c r="C34" s="25" t="n"/>
      <c r="D34" s="35" t="inlineStr">
        <is>
          <t>2 sets</t>
        </is>
      </c>
      <c r="E34" s="36" t="n"/>
      <c r="F34" s="28" t="n"/>
      <c r="G34" s="37">
        <f>IF(COUNT(E34:F34)=2,E34+F34,"")</f>
        <v/>
      </c>
      <c r="H34" s="23">
        <f>IF($C$33="","",$C$33)</f>
        <v/>
      </c>
    </row>
    <row r="35" ht="22" customHeight="1">
      <c r="C35" s="31" t="n"/>
      <c r="D35" s="32" t="inlineStr">
        <is>
          <t>1 set (4 pairs)</t>
        </is>
      </c>
      <c r="E35" s="33" t="n"/>
      <c r="F35" s="21" t="n"/>
      <c r="G35" s="34">
        <f>IF(COUNT(E35:F35)=2,E35+F35,"")</f>
        <v/>
      </c>
      <c r="H35" s="23">
        <f>IF($C$35="","",$C$35)</f>
        <v/>
      </c>
    </row>
    <row r="36" ht="22" customHeight="1">
      <c r="C36" s="25" t="n"/>
      <c r="D36" s="35" t="inlineStr">
        <is>
          <t>2 sets</t>
        </is>
      </c>
      <c r="E36" s="36" t="n"/>
      <c r="F36" s="28" t="n"/>
      <c r="G36" s="37">
        <f>IF(COUNT(E36:F36)=2,E36+F36,"")</f>
        <v/>
      </c>
      <c r="H36" s="23">
        <f>IF($C$35="","",$C$35)</f>
        <v/>
      </c>
    </row>
    <row r="37" ht="22" customHeight="1">
      <c r="C37" s="31" t="n"/>
      <c r="D37" s="32" t="inlineStr">
        <is>
          <t>1 set (4 pairs)</t>
        </is>
      </c>
      <c r="E37" s="33" t="n"/>
      <c r="F37" s="21" t="n"/>
      <c r="G37" s="34">
        <f>IF(COUNT(E37:F37)=2,E37+F37,"")</f>
        <v/>
      </c>
      <c r="H37" s="23">
        <f>IF($C$37="","",$C$37)</f>
        <v/>
      </c>
    </row>
    <row r="38" ht="22" customHeight="1">
      <c r="C38" s="25" t="n"/>
      <c r="D38" s="35" t="inlineStr">
        <is>
          <t>2 sets</t>
        </is>
      </c>
      <c r="E38" s="36" t="n"/>
      <c r="F38" s="28" t="n"/>
      <c r="G38" s="37">
        <f>IF(COUNT(E38:F38)=2,E38+F38,"")</f>
        <v/>
      </c>
      <c r="H38" s="23">
        <f>IF($C$37="","",$C$37)</f>
        <v/>
      </c>
    </row>
    <row r="39" ht="22" customHeight="1">
      <c r="C39" s="31" t="n"/>
      <c r="D39" s="32" t="inlineStr">
        <is>
          <t>1 set (4 pairs)</t>
        </is>
      </c>
      <c r="E39" s="33" t="n"/>
      <c r="F39" s="21" t="n"/>
      <c r="G39" s="34">
        <f>IF(COUNT(E39:F39)=2,E39+F39,"")</f>
        <v/>
      </c>
      <c r="H39" s="23">
        <f>IF($C$39="","",$C$39)</f>
        <v/>
      </c>
    </row>
    <row r="40" ht="22" customHeight="1">
      <c r="C40" s="25" t="n"/>
      <c r="D40" s="35" t="inlineStr">
        <is>
          <t>2 sets</t>
        </is>
      </c>
      <c r="E40" s="36" t="n"/>
      <c r="F40" s="28" t="n"/>
      <c r="G40" s="37">
        <f>IF(COUNT(E40:F40)=2,E40+F40,"")</f>
        <v/>
      </c>
      <c r="H40" s="23">
        <f>IF($C$39="","",$C$39)</f>
        <v/>
      </c>
    </row>
    <row r="41" ht="22" customHeight="1">
      <c r="C41" s="31" t="n"/>
      <c r="D41" s="32" t="inlineStr">
        <is>
          <t>1 set (4 pairs)</t>
        </is>
      </c>
      <c r="E41" s="33" t="n"/>
      <c r="F41" s="21" t="n"/>
      <c r="G41" s="34">
        <f>IF(COUNT(E41:F41)=2,E41+F41,"")</f>
        <v/>
      </c>
      <c r="H41" s="23">
        <f>IF($C$41="","",$C$41)</f>
        <v/>
      </c>
    </row>
    <row r="42" ht="22" customHeight="1">
      <c r="C42" s="25" t="n"/>
      <c r="D42" s="35" t="inlineStr">
        <is>
          <t>2 sets</t>
        </is>
      </c>
      <c r="E42" s="36" t="n"/>
      <c r="F42" s="28" t="n"/>
      <c r="G42" s="37">
        <f>IF(COUNT(E42:F42)=2,E42+F42,"")</f>
        <v/>
      </c>
      <c r="H42" s="23">
        <f>IF($C$41="","",$C$41)</f>
        <v/>
      </c>
    </row>
    <row r="43" ht="22" customHeight="1">
      <c r="C43" s="31" t="n"/>
      <c r="D43" s="32" t="inlineStr">
        <is>
          <t>1 set (4 pairs)</t>
        </is>
      </c>
      <c r="E43" s="33" t="n"/>
      <c r="F43" s="21" t="n"/>
      <c r="G43" s="34">
        <f>IF(COUNT(E43:F43)=2,E43+F43,"")</f>
        <v/>
      </c>
      <c r="H43" s="23">
        <f>IF($C$43="","",$C$43)</f>
        <v/>
      </c>
    </row>
    <row r="44" ht="22" customHeight="1">
      <c r="C44" s="25" t="n"/>
      <c r="D44" s="35" t="inlineStr">
        <is>
          <t>2 sets</t>
        </is>
      </c>
      <c r="E44" s="36" t="n"/>
      <c r="F44" s="28" t="n"/>
      <c r="G44" s="37">
        <f>IF(COUNT(E44:F44)=2,E44+F44,"")</f>
        <v/>
      </c>
      <c r="H44" s="23">
        <f>IF($C$43="","",$C$43)</f>
        <v/>
      </c>
    </row>
    <row r="45" ht="22" customHeight="1">
      <c r="C45" s="31" t="n"/>
      <c r="D45" s="32" t="inlineStr">
        <is>
          <t>1 set (4 pairs)</t>
        </is>
      </c>
      <c r="E45" s="33" t="n"/>
      <c r="F45" s="21" t="n"/>
      <c r="G45" s="34">
        <f>IF(COUNT(E45:F45)=2,E45+F45,"")</f>
        <v/>
      </c>
      <c r="H45" s="23">
        <f>IF($C$45="","",$C$45)</f>
        <v/>
      </c>
    </row>
    <row r="46" ht="22" customHeight="1">
      <c r="C46" s="25" t="n"/>
      <c r="D46" s="35" t="inlineStr">
        <is>
          <t>2 sets</t>
        </is>
      </c>
      <c r="E46" s="36" t="n"/>
      <c r="F46" s="28" t="n"/>
      <c r="G46" s="37">
        <f>IF(COUNT(E46:F46)=2,E46+F46,"")</f>
        <v/>
      </c>
      <c r="H46" s="23">
        <f>IF($C$45="","",$C$45)</f>
        <v/>
      </c>
    </row>
    <row r="47" ht="22" customHeight="1">
      <c r="C47" s="31" t="n"/>
      <c r="D47" s="32" t="inlineStr">
        <is>
          <t>1 set (4 pairs)</t>
        </is>
      </c>
      <c r="E47" s="33" t="n"/>
      <c r="F47" s="21" t="n"/>
      <c r="G47" s="34">
        <f>IF(COUNT(E47:F47)=2,E47+F47,"")</f>
        <v/>
      </c>
      <c r="H47" s="23">
        <f>IF($C$47="","",$C$47)</f>
        <v/>
      </c>
    </row>
    <row r="48" ht="22" customHeight="1">
      <c r="C48" s="25" t="n"/>
      <c r="D48" s="35" t="inlineStr">
        <is>
          <t>2 sets</t>
        </is>
      </c>
      <c r="E48" s="36" t="n"/>
      <c r="F48" s="28" t="n"/>
      <c r="G48" s="37">
        <f>IF(COUNT(E48:F48)=2,E48+F48,"")</f>
        <v/>
      </c>
      <c r="H48" s="23">
        <f>IF($C$47="","",$C$47)</f>
        <v/>
      </c>
    </row>
    <row r="49" ht="22" customHeight="1">
      <c r="C49" s="31" t="n"/>
      <c r="D49" s="32" t="inlineStr">
        <is>
          <t>1 set (4 pairs)</t>
        </is>
      </c>
      <c r="E49" s="33" t="n"/>
      <c r="F49" s="21" t="n"/>
      <c r="G49" s="34">
        <f>IF(COUNT(E49:F49)=2,E49+F49,"")</f>
        <v/>
      </c>
      <c r="H49" s="23">
        <f>IF($C$49="","",$C$49)</f>
        <v/>
      </c>
    </row>
    <row r="50" ht="22" customHeight="1">
      <c r="C50" s="25" t="n"/>
      <c r="D50" s="35" t="inlineStr">
        <is>
          <t>2 sets</t>
        </is>
      </c>
      <c r="E50" s="36" t="n"/>
      <c r="F50" s="28" t="n"/>
      <c r="G50" s="37">
        <f>IF(COUNT(E50:F50)=2,E50+F50,"")</f>
        <v/>
      </c>
      <c r="H50" s="23">
        <f>IF($C$49="","",$C$49)</f>
        <v/>
      </c>
    </row>
    <row r="51" ht="22" customHeight="1">
      <c r="C51" s="31" t="n"/>
      <c r="D51" s="32" t="inlineStr">
        <is>
          <t>1 set (4 pairs)</t>
        </is>
      </c>
      <c r="E51" s="33" t="n"/>
      <c r="F51" s="21" t="n"/>
      <c r="G51" s="34">
        <f>IF(COUNT(E51:F51)=2,E51+F51,"")</f>
        <v/>
      </c>
      <c r="H51" s="23">
        <f>IF($C$51="","",$C$51)</f>
        <v/>
      </c>
    </row>
    <row r="52" ht="22" customHeight="1">
      <c r="C52" s="25" t="n"/>
      <c r="D52" s="35" t="inlineStr">
        <is>
          <t>2 sets</t>
        </is>
      </c>
      <c r="E52" s="36" t="n"/>
      <c r="F52" s="28" t="n"/>
      <c r="G52" s="37">
        <f>IF(COUNT(E52:F52)=2,E52+F52,"")</f>
        <v/>
      </c>
      <c r="H52" s="23">
        <f>IF($C$51="","",$C$51)</f>
        <v/>
      </c>
    </row>
    <row r="53" ht="22" customHeight="1">
      <c r="C53" s="31" t="n"/>
      <c r="D53" s="32" t="inlineStr">
        <is>
          <t>1 set (4 pairs)</t>
        </is>
      </c>
      <c r="E53" s="33" t="n"/>
      <c r="F53" s="21" t="n"/>
      <c r="G53" s="34">
        <f>IF(COUNT(E53:F53)=2,E53+F53,"")</f>
        <v/>
      </c>
      <c r="H53" s="23">
        <f>IF($C$53="","",$C$53)</f>
        <v/>
      </c>
    </row>
    <row r="54" ht="22" customHeight="1">
      <c r="C54" s="25" t="n"/>
      <c r="D54" s="35" t="inlineStr">
        <is>
          <t>2 sets</t>
        </is>
      </c>
      <c r="E54" s="36" t="n"/>
      <c r="F54" s="28" t="n"/>
      <c r="G54" s="37">
        <f>IF(COUNT(E54:F54)=2,E54+F54,"")</f>
        <v/>
      </c>
      <c r="H54" s="23">
        <f>IF($C$53="","",$C$53)</f>
        <v/>
      </c>
    </row>
    <row r="55" ht="22" customHeight="1">
      <c r="C55" s="31" t="n"/>
      <c r="D55" s="32" t="inlineStr">
        <is>
          <t>1 set (4 pairs)</t>
        </is>
      </c>
      <c r="E55" s="33" t="n"/>
      <c r="F55" s="21" t="n"/>
      <c r="G55" s="34">
        <f>IF(COUNT(E55:F55)=2,E55+F55,"")</f>
        <v/>
      </c>
      <c r="H55" s="23">
        <f>IF($C$55="","",$C$55)</f>
        <v/>
      </c>
    </row>
    <row r="56" ht="22" customHeight="1">
      <c r="C56" s="25" t="n"/>
      <c r="D56" s="35" t="inlineStr">
        <is>
          <t>2 sets</t>
        </is>
      </c>
      <c r="E56" s="36" t="n"/>
      <c r="F56" s="28" t="n"/>
      <c r="G56" s="37">
        <f>IF(COUNT(E56:F56)=2,E56+F56,"")</f>
        <v/>
      </c>
      <c r="H56" s="23">
        <f>IF($C$55="","",$C$55)</f>
        <v/>
      </c>
    </row>
    <row r="57" ht="22" customHeight="1">
      <c r="C57" s="31" t="n"/>
      <c r="D57" s="32" t="inlineStr">
        <is>
          <t>1 set (4 pairs)</t>
        </is>
      </c>
      <c r="E57" s="33" t="n"/>
      <c r="F57" s="21" t="n"/>
      <c r="G57" s="34">
        <f>IF(COUNT(E57:F57)=2,E57+F57,"")</f>
        <v/>
      </c>
      <c r="H57" s="23">
        <f>IF($C$57="","",$C$57)</f>
        <v/>
      </c>
    </row>
    <row r="58" ht="22" customHeight="1">
      <c r="C58" s="25" t="n"/>
      <c r="D58" s="35" t="inlineStr">
        <is>
          <t>2 sets</t>
        </is>
      </c>
      <c r="E58" s="36" t="n"/>
      <c r="F58" s="28" t="n"/>
      <c r="G58" s="37">
        <f>IF(COUNT(E58:F58)=2,E58+F58,"")</f>
        <v/>
      </c>
      <c r="H58" s="23">
        <f>IF($C$57="","",$C$57)</f>
        <v/>
      </c>
    </row>
    <row r="59" ht="22" customHeight="1">
      <c r="C59" s="31" t="n"/>
      <c r="D59" s="32" t="inlineStr">
        <is>
          <t>1 set (4 pairs)</t>
        </is>
      </c>
      <c r="E59" s="33" t="n"/>
      <c r="F59" s="21" t="n"/>
      <c r="G59" s="34">
        <f>IF(COUNT(E59:F59)=2,E59+F59,"")</f>
        <v/>
      </c>
      <c r="H59" s="23">
        <f>IF($C$59="","",$C$59)</f>
        <v/>
      </c>
    </row>
    <row r="60" ht="22" customHeight="1">
      <c r="C60" s="25" t="n"/>
      <c r="D60" s="35" t="inlineStr">
        <is>
          <t>2 sets</t>
        </is>
      </c>
      <c r="E60" s="36" t="n"/>
      <c r="F60" s="28" t="n"/>
      <c r="G60" s="37">
        <f>IF(COUNT(E60:F60)=2,E60+F60,"")</f>
        <v/>
      </c>
      <c r="H60" s="23">
        <f>IF($C$59="","",$C$59)</f>
        <v/>
      </c>
    </row>
    <row r="61" ht="22" customHeight="1">
      <c r="C61" s="31" t="n"/>
      <c r="D61" s="32" t="inlineStr">
        <is>
          <t>1 set (4 pairs)</t>
        </is>
      </c>
      <c r="E61" s="33" t="n"/>
      <c r="F61" s="21" t="n"/>
      <c r="G61" s="34">
        <f>IF(COUNT(E61:F61)=2,E61+F61,"")</f>
        <v/>
      </c>
      <c r="H61" s="23">
        <f>IF($C$61="","",$C$61)</f>
        <v/>
      </c>
    </row>
    <row r="62" ht="22" customHeight="1">
      <c r="C62" s="25" t="n"/>
      <c r="D62" s="35" t="inlineStr">
        <is>
          <t>2 sets</t>
        </is>
      </c>
      <c r="E62" s="36" t="n"/>
      <c r="F62" s="28" t="n"/>
      <c r="G62" s="37">
        <f>IF(COUNT(E62:F62)=2,E62+F62,"")</f>
        <v/>
      </c>
      <c r="H62" s="23">
        <f>IF($C$61="","",$C$61)</f>
        <v/>
      </c>
    </row>
    <row r="63" ht="22" customHeight="1">
      <c r="C63" s="31" t="n"/>
      <c r="D63" s="32" t="inlineStr">
        <is>
          <t>1 set (4 pairs)</t>
        </is>
      </c>
      <c r="E63" s="33" t="n"/>
      <c r="F63" s="21" t="n"/>
      <c r="G63" s="34">
        <f>IF(COUNT(E63:F63)=2,E63+F63,"")</f>
        <v/>
      </c>
      <c r="H63" s="23">
        <f>IF($C$63="","",$C$63)</f>
        <v/>
      </c>
    </row>
    <row r="64" ht="22" customHeight="1">
      <c r="C64" s="25" t="n"/>
      <c r="D64" s="35" t="inlineStr">
        <is>
          <t>2 sets</t>
        </is>
      </c>
      <c r="E64" s="36" t="n"/>
      <c r="F64" s="28" t="n"/>
      <c r="G64" s="37">
        <f>IF(COUNT(E64:F64)=2,E64+F64,"")</f>
        <v/>
      </c>
      <c r="H64" s="23">
        <f>IF($C$63="","",$C$63)</f>
        <v/>
      </c>
    </row>
  </sheetData>
  <mergeCells count="33">
    <mergeCell ref="B2:G2"/>
    <mergeCell ref="C33:C34"/>
    <mergeCell ref="C29:C30"/>
    <mergeCell ref="B1:G1"/>
    <mergeCell ref="C45:C46"/>
    <mergeCell ref="C63:C64"/>
    <mergeCell ref="C59:C60"/>
    <mergeCell ref="C35:C36"/>
    <mergeCell ref="C9:C10"/>
    <mergeCell ref="C47:C48"/>
    <mergeCell ref="C25:C26"/>
    <mergeCell ref="C41:C42"/>
    <mergeCell ref="C21:C22"/>
    <mergeCell ref="C55:C56"/>
    <mergeCell ref="C31:C32"/>
    <mergeCell ref="C11:C12"/>
    <mergeCell ref="B5:B22"/>
    <mergeCell ref="B24:G24"/>
    <mergeCell ref="C43:C44"/>
    <mergeCell ref="C61:C62"/>
    <mergeCell ref="C51:C52"/>
    <mergeCell ref="C57:C58"/>
    <mergeCell ref="C17:C18"/>
    <mergeCell ref="C27:C28"/>
    <mergeCell ref="C7:C8"/>
    <mergeCell ref="C39:C40"/>
    <mergeCell ref="C19:C20"/>
    <mergeCell ref="C13:C14"/>
    <mergeCell ref="C53:C54"/>
    <mergeCell ref="C37:C38"/>
    <mergeCell ref="C15:C16"/>
    <mergeCell ref="C49:C50"/>
    <mergeCell ref="C5:C6"/>
  </mergeCells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A16207"/>
    <outlinePr summaryBelow="1" summaryRight="1"/>
    <pageSetUpPr fitToPage="1"/>
  </sheetPr>
  <dimension ref="B1:H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20" customWidth="1" min="4" max="4"/>
    <col width="13" customWidth="1" min="5" max="5"/>
    <col width="18" customWidth="1" min="6" max="6"/>
    <col width="15" customWidth="1" min="7" max="7"/>
    <col hidden="1" width="12" customWidth="1" min="8" max="8"/>
  </cols>
  <sheetData>
    <row r="1" ht="38" customHeight="1">
      <c r="B1" s="1" t="inlineStr">
        <is>
          <t>HAMBURGER SOCKS — COGS per country</t>
        </is>
      </c>
      <c r="C1" s="2" t="n"/>
      <c r="D1" s="2" t="n"/>
      <c r="E1" s="2" t="n"/>
      <c r="F1" s="2" t="n"/>
      <c r="G1" s="2" t="n"/>
    </row>
    <row r="2" ht="20" customHeight="1">
      <c r="B2" s="3" t="inlineStr">
        <is>
          <t>Supplier quote, read 2026-09-29. All amounts in USD per order. Blue numbers = supplier quote. Grey rows at the bottom = add a new country.</t>
        </is>
      </c>
    </row>
    <row r="4" ht="34" customHeight="1">
      <c r="B4" s="4" t="inlineStr">
        <is>
          <t>Picture</t>
        </is>
      </c>
      <c r="C4" s="4" t="inlineStr">
        <is>
          <t>Country</t>
        </is>
      </c>
      <c r="D4" s="4" t="inlineStr">
        <is>
          <t>Quantity</t>
        </is>
      </c>
      <c r="E4" s="4" t="inlineStr">
        <is>
          <t>COST ($)</t>
        </is>
      </c>
      <c r="F4" s="4" t="inlineStr">
        <is>
          <t>SHIPPING FEE ($)</t>
        </is>
      </c>
      <c r="G4" s="17" t="inlineStr">
        <is>
          <t>PRICE ($)</t>
        </is>
      </c>
    </row>
    <row r="5" ht="24" customHeight="1">
      <c r="B5" s="18" t="n"/>
      <c r="C5" s="19" t="inlineStr">
        <is>
          <t>Sweden</t>
        </is>
      </c>
      <c r="D5" s="18" t="inlineStr">
        <is>
          <t>1 set (3 pairs)</t>
        </is>
      </c>
      <c r="E5" s="20" t="n">
        <v>2.5</v>
      </c>
      <c r="F5" s="21" t="n">
        <v>5.2</v>
      </c>
      <c r="G5" s="22" t="n">
        <v>7.6</v>
      </c>
      <c r="H5" s="23">
        <f>$C$5</f>
        <v/>
      </c>
    </row>
    <row r="6" ht="24" customHeight="1">
      <c r="C6" s="25" t="n"/>
      <c r="D6" s="26" t="inlineStr">
        <is>
          <t>2 sets</t>
        </is>
      </c>
      <c r="E6" s="27" t="n">
        <v>4.9</v>
      </c>
      <c r="F6" s="28" t="n">
        <v>7.3</v>
      </c>
      <c r="G6" s="29" t="n">
        <v>12.2</v>
      </c>
      <c r="H6" s="23">
        <f>$C$5</f>
        <v/>
      </c>
    </row>
    <row r="7" ht="24" customHeight="1">
      <c r="C7" s="19" t="inlineStr">
        <is>
          <t>USA</t>
        </is>
      </c>
      <c r="D7" s="18" t="inlineStr">
        <is>
          <t>1 set (3 pairs)</t>
        </is>
      </c>
      <c r="E7" s="20" t="n">
        <v>2.5</v>
      </c>
      <c r="F7" s="21" t="n">
        <v>6.4</v>
      </c>
      <c r="G7" s="22" t="n">
        <v>8.9</v>
      </c>
      <c r="H7" s="23">
        <f>$C$7</f>
        <v/>
      </c>
    </row>
    <row r="8" ht="24" customHeight="1">
      <c r="C8" s="25" t="n"/>
      <c r="D8" s="26" t="inlineStr">
        <is>
          <t>2 sets</t>
        </is>
      </c>
      <c r="E8" s="27" t="n">
        <v>4.9</v>
      </c>
      <c r="F8" s="28" t="n">
        <v>9.5</v>
      </c>
      <c r="G8" s="29" t="n">
        <v>14.4</v>
      </c>
      <c r="H8" s="23">
        <f>$C$7</f>
        <v/>
      </c>
    </row>
    <row r="9" ht="24" customHeight="1">
      <c r="C9" s="19" t="inlineStr">
        <is>
          <t>UK</t>
        </is>
      </c>
      <c r="D9" s="18" t="inlineStr">
        <is>
          <t>1 set (3 pairs)</t>
        </is>
      </c>
      <c r="E9" s="20" t="n">
        <v>2.5</v>
      </c>
      <c r="F9" s="21" t="n">
        <v>4.6</v>
      </c>
      <c r="G9" s="22" t="n">
        <v>7</v>
      </c>
      <c r="H9" s="23">
        <f>$C$9</f>
        <v/>
      </c>
    </row>
    <row r="10" ht="24" customHeight="1">
      <c r="C10" s="25" t="n"/>
      <c r="D10" s="26" t="inlineStr">
        <is>
          <t>2 sets</t>
        </is>
      </c>
      <c r="E10" s="27" t="n">
        <v>4.9</v>
      </c>
      <c r="F10" s="28" t="n">
        <v>6.4</v>
      </c>
      <c r="G10" s="29" t="n">
        <v>11.3</v>
      </c>
      <c r="H10" s="23">
        <f>$C$9</f>
        <v/>
      </c>
    </row>
    <row r="11" ht="24" customHeight="1">
      <c r="C11" s="19" t="inlineStr">
        <is>
          <t>New Zealand</t>
        </is>
      </c>
      <c r="D11" s="18" t="inlineStr">
        <is>
          <t>1 set (3 pairs)</t>
        </is>
      </c>
      <c r="E11" s="20" t="n">
        <v>2.5</v>
      </c>
      <c r="F11" s="21" t="n">
        <v>6.4</v>
      </c>
      <c r="G11" s="22" t="n">
        <v>8.9</v>
      </c>
      <c r="H11" s="23">
        <f>$C$11</f>
        <v/>
      </c>
    </row>
    <row r="12" ht="24" customHeight="1">
      <c r="C12" s="25" t="n"/>
      <c r="D12" s="26" t="inlineStr">
        <is>
          <t>2 sets</t>
        </is>
      </c>
      <c r="E12" s="27" t="n">
        <v>4.9</v>
      </c>
      <c r="F12" s="28" t="n">
        <v>9.9</v>
      </c>
      <c r="G12" s="29" t="n">
        <v>14.8</v>
      </c>
      <c r="H12" s="23">
        <f>$C$11</f>
        <v/>
      </c>
    </row>
    <row r="13" ht="24" customHeight="1">
      <c r="C13" s="19" t="inlineStr">
        <is>
          <t>Australia</t>
        </is>
      </c>
      <c r="D13" s="18" t="inlineStr">
        <is>
          <t>1 set (3 pairs)</t>
        </is>
      </c>
      <c r="E13" s="20" t="n">
        <v>2.5</v>
      </c>
      <c r="F13" s="21" t="n">
        <v>6.8</v>
      </c>
      <c r="G13" s="22" t="n">
        <v>9.199999999999999</v>
      </c>
      <c r="H13" s="23">
        <f>$C$13</f>
        <v/>
      </c>
    </row>
    <row r="14" ht="24" customHeight="1">
      <c r="C14" s="25" t="n"/>
      <c r="D14" s="26" t="inlineStr">
        <is>
          <t>2 sets</t>
        </is>
      </c>
      <c r="E14" s="27" t="n">
        <v>4.9</v>
      </c>
      <c r="F14" s="28" t="n">
        <v>10.3</v>
      </c>
      <c r="G14" s="29" t="n">
        <v>15.2</v>
      </c>
      <c r="H14" s="23">
        <f>$C$13</f>
        <v/>
      </c>
    </row>
    <row r="15" ht="24" customHeight="1">
      <c r="C15" s="19" t="inlineStr">
        <is>
          <t>Canada</t>
        </is>
      </c>
      <c r="D15" s="18" t="inlineStr">
        <is>
          <t>1 set (3 pairs)</t>
        </is>
      </c>
      <c r="E15" s="20" t="n">
        <v>2.5</v>
      </c>
      <c r="F15" s="21" t="n">
        <v>5.7</v>
      </c>
      <c r="G15" s="22" t="n">
        <v>8.199999999999999</v>
      </c>
      <c r="H15" s="23">
        <f>$C$15</f>
        <v/>
      </c>
    </row>
    <row r="16" ht="24" customHeight="1">
      <c r="C16" s="25" t="n"/>
      <c r="D16" s="26" t="inlineStr">
        <is>
          <t>2 sets</t>
        </is>
      </c>
      <c r="E16" s="27" t="n">
        <v>4.9</v>
      </c>
      <c r="F16" s="28" t="n">
        <v>7.9</v>
      </c>
      <c r="G16" s="29" t="n">
        <v>12.8</v>
      </c>
      <c r="H16" s="23">
        <f>$C$15</f>
        <v/>
      </c>
    </row>
    <row r="17" ht="24" customHeight="1">
      <c r="C17" s="19" t="inlineStr">
        <is>
          <t>Norway</t>
        </is>
      </c>
      <c r="D17" s="18" t="inlineStr">
        <is>
          <t>1 set (3 pairs)</t>
        </is>
      </c>
      <c r="E17" s="20" t="n">
        <v>2.5</v>
      </c>
      <c r="F17" s="21" t="n">
        <v>6.4</v>
      </c>
      <c r="G17" s="22" t="n">
        <v>8.9</v>
      </c>
      <c r="H17" s="23">
        <f>$C$17</f>
        <v/>
      </c>
    </row>
    <row r="18" ht="24" customHeight="1">
      <c r="C18" s="25" t="n"/>
      <c r="D18" s="26" t="inlineStr">
        <is>
          <t>2 sets</t>
        </is>
      </c>
      <c r="E18" s="27" t="n">
        <v>4.9</v>
      </c>
      <c r="F18" s="28" t="n">
        <v>8.300000000000001</v>
      </c>
      <c r="G18" s="29" t="n">
        <v>13.2</v>
      </c>
      <c r="H18" s="23">
        <f>$C$17</f>
        <v/>
      </c>
    </row>
    <row r="19" ht="24" customHeight="1">
      <c r="C19" s="19" t="inlineStr">
        <is>
          <t>Denmark</t>
        </is>
      </c>
      <c r="D19" s="18" t="inlineStr">
        <is>
          <t>1 set (3 pairs)</t>
        </is>
      </c>
      <c r="E19" s="20" t="n">
        <v>2.5</v>
      </c>
      <c r="F19" s="21" t="n">
        <v>6.5</v>
      </c>
      <c r="G19" s="22" t="n">
        <v>9</v>
      </c>
      <c r="H19" s="23">
        <f>$C$19</f>
        <v/>
      </c>
    </row>
    <row r="20" ht="24" customHeight="1">
      <c r="C20" s="25" t="n"/>
      <c r="D20" s="26" t="inlineStr">
        <is>
          <t>2 sets</t>
        </is>
      </c>
      <c r="E20" s="27" t="n">
        <v>4.9</v>
      </c>
      <c r="F20" s="28" t="n">
        <v>8.4</v>
      </c>
      <c r="G20" s="29" t="n">
        <v>13.3</v>
      </c>
      <c r="H20" s="23">
        <f>$C$19</f>
        <v/>
      </c>
    </row>
    <row r="21" ht="24" customHeight="1">
      <c r="C21" s="19" t="inlineStr">
        <is>
          <t>Finland</t>
        </is>
      </c>
      <c r="D21" s="18" t="inlineStr">
        <is>
          <t>1 set (3 pairs)</t>
        </is>
      </c>
      <c r="E21" s="20" t="n">
        <v>2.5</v>
      </c>
      <c r="F21" s="21" t="n">
        <v>7.1</v>
      </c>
      <c r="G21" s="22" t="n">
        <v>9.5</v>
      </c>
      <c r="H21" s="23">
        <f>$C$21</f>
        <v/>
      </c>
    </row>
    <row r="22" ht="24" customHeight="1">
      <c r="C22" s="25" t="n"/>
      <c r="D22" s="26" t="inlineStr">
        <is>
          <t>2 sets</t>
        </is>
      </c>
      <c r="E22" s="27" t="n">
        <v>4.9</v>
      </c>
      <c r="F22" s="28" t="n">
        <v>9.800000000000001</v>
      </c>
      <c r="G22" s="29" t="n">
        <v>14.7</v>
      </c>
      <c r="H22" s="23">
        <f>$C$21</f>
        <v/>
      </c>
    </row>
    <row r="24" ht="30" customHeight="1">
      <c r="B24" s="30" t="inlineStr">
        <is>
          <t>➕  NEW COUNTRIES — type the country in the grey box, then cost and shipping. Price fills itself (overwrite it with the supplier price if it differs).</t>
        </is>
      </c>
    </row>
    <row r="25" ht="22" customHeight="1">
      <c r="C25" s="31" t="n"/>
      <c r="D25" s="32" t="inlineStr">
        <is>
          <t>1 set (3 pairs)</t>
        </is>
      </c>
      <c r="E25" s="33" t="n"/>
      <c r="F25" s="21" t="n"/>
      <c r="G25" s="34">
        <f>IF(COUNT(E25:F25)=2,E25+F25,"")</f>
        <v/>
      </c>
      <c r="H25" s="23">
        <f>IF($C$25="","",$C$25)</f>
        <v/>
      </c>
    </row>
    <row r="26" ht="22" customHeight="1">
      <c r="C26" s="25" t="n"/>
      <c r="D26" s="35" t="inlineStr">
        <is>
          <t>2 sets</t>
        </is>
      </c>
      <c r="E26" s="36" t="n"/>
      <c r="F26" s="28" t="n"/>
      <c r="G26" s="37">
        <f>IF(COUNT(E26:F26)=2,E26+F26,"")</f>
        <v/>
      </c>
      <c r="H26" s="23">
        <f>IF($C$25="","",$C$25)</f>
        <v/>
      </c>
    </row>
    <row r="27" ht="22" customHeight="1">
      <c r="C27" s="31" t="n"/>
      <c r="D27" s="32" t="inlineStr">
        <is>
          <t>1 set (3 pairs)</t>
        </is>
      </c>
      <c r="E27" s="33" t="n"/>
      <c r="F27" s="21" t="n"/>
      <c r="G27" s="34">
        <f>IF(COUNT(E27:F27)=2,E27+F27,"")</f>
        <v/>
      </c>
      <c r="H27" s="23">
        <f>IF($C$27="","",$C$27)</f>
        <v/>
      </c>
    </row>
    <row r="28" ht="22" customHeight="1">
      <c r="C28" s="25" t="n"/>
      <c r="D28" s="35" t="inlineStr">
        <is>
          <t>2 sets</t>
        </is>
      </c>
      <c r="E28" s="36" t="n"/>
      <c r="F28" s="28" t="n"/>
      <c r="G28" s="37">
        <f>IF(COUNT(E28:F28)=2,E28+F28,"")</f>
        <v/>
      </c>
      <c r="H28" s="23">
        <f>IF($C$27="","",$C$27)</f>
        <v/>
      </c>
    </row>
    <row r="29" ht="22" customHeight="1">
      <c r="C29" s="31" t="n"/>
      <c r="D29" s="32" t="inlineStr">
        <is>
          <t>1 set (3 pairs)</t>
        </is>
      </c>
      <c r="E29" s="33" t="n"/>
      <c r="F29" s="21" t="n"/>
      <c r="G29" s="34">
        <f>IF(COUNT(E29:F29)=2,E29+F29,"")</f>
        <v/>
      </c>
      <c r="H29" s="23">
        <f>IF($C$29="","",$C$29)</f>
        <v/>
      </c>
    </row>
    <row r="30" ht="22" customHeight="1">
      <c r="C30" s="25" t="n"/>
      <c r="D30" s="35" t="inlineStr">
        <is>
          <t>2 sets</t>
        </is>
      </c>
      <c r="E30" s="36" t="n"/>
      <c r="F30" s="28" t="n"/>
      <c r="G30" s="37">
        <f>IF(COUNT(E30:F30)=2,E30+F30,"")</f>
        <v/>
      </c>
      <c r="H30" s="23">
        <f>IF($C$29="","",$C$29)</f>
        <v/>
      </c>
    </row>
    <row r="31" ht="22" customHeight="1">
      <c r="C31" s="31" t="n"/>
      <c r="D31" s="32" t="inlineStr">
        <is>
          <t>1 set (3 pairs)</t>
        </is>
      </c>
      <c r="E31" s="33" t="n"/>
      <c r="F31" s="21" t="n"/>
      <c r="G31" s="34">
        <f>IF(COUNT(E31:F31)=2,E31+F31,"")</f>
        <v/>
      </c>
      <c r="H31" s="23">
        <f>IF($C$31="","",$C$31)</f>
        <v/>
      </c>
    </row>
    <row r="32" ht="22" customHeight="1">
      <c r="C32" s="25" t="n"/>
      <c r="D32" s="35" t="inlineStr">
        <is>
          <t>2 sets</t>
        </is>
      </c>
      <c r="E32" s="36" t="n"/>
      <c r="F32" s="28" t="n"/>
      <c r="G32" s="37">
        <f>IF(COUNT(E32:F32)=2,E32+F32,"")</f>
        <v/>
      </c>
      <c r="H32" s="23">
        <f>IF($C$31="","",$C$31)</f>
        <v/>
      </c>
    </row>
    <row r="33" ht="22" customHeight="1">
      <c r="C33" s="31" t="n"/>
      <c r="D33" s="32" t="inlineStr">
        <is>
          <t>1 set (3 pairs)</t>
        </is>
      </c>
      <c r="E33" s="33" t="n"/>
      <c r="F33" s="21" t="n"/>
      <c r="G33" s="34">
        <f>IF(COUNT(E33:F33)=2,E33+F33,"")</f>
        <v/>
      </c>
      <c r="H33" s="23">
        <f>IF($C$33="","",$C$33)</f>
        <v/>
      </c>
    </row>
    <row r="34" ht="22" customHeight="1">
      <c r="C34" s="25" t="n"/>
      <c r="D34" s="35" t="inlineStr">
        <is>
          <t>2 sets</t>
        </is>
      </c>
      <c r="E34" s="36" t="n"/>
      <c r="F34" s="28" t="n"/>
      <c r="G34" s="37">
        <f>IF(COUNT(E34:F34)=2,E34+F34,"")</f>
        <v/>
      </c>
      <c r="H34" s="23">
        <f>IF($C$33="","",$C$33)</f>
        <v/>
      </c>
    </row>
    <row r="35" ht="22" customHeight="1">
      <c r="C35" s="31" t="n"/>
      <c r="D35" s="32" t="inlineStr">
        <is>
          <t>1 set (3 pairs)</t>
        </is>
      </c>
      <c r="E35" s="33" t="n"/>
      <c r="F35" s="21" t="n"/>
      <c r="G35" s="34">
        <f>IF(COUNT(E35:F35)=2,E35+F35,"")</f>
        <v/>
      </c>
      <c r="H35" s="23">
        <f>IF($C$35="","",$C$35)</f>
        <v/>
      </c>
    </row>
    <row r="36" ht="22" customHeight="1">
      <c r="C36" s="25" t="n"/>
      <c r="D36" s="35" t="inlineStr">
        <is>
          <t>2 sets</t>
        </is>
      </c>
      <c r="E36" s="36" t="n"/>
      <c r="F36" s="28" t="n"/>
      <c r="G36" s="37">
        <f>IF(COUNT(E36:F36)=2,E36+F36,"")</f>
        <v/>
      </c>
      <c r="H36" s="23">
        <f>IF($C$35="","",$C$35)</f>
        <v/>
      </c>
    </row>
    <row r="37" ht="22" customHeight="1">
      <c r="C37" s="31" t="n"/>
      <c r="D37" s="32" t="inlineStr">
        <is>
          <t>1 set (3 pairs)</t>
        </is>
      </c>
      <c r="E37" s="33" t="n"/>
      <c r="F37" s="21" t="n"/>
      <c r="G37" s="34">
        <f>IF(COUNT(E37:F37)=2,E37+F37,"")</f>
        <v/>
      </c>
      <c r="H37" s="23">
        <f>IF($C$37="","",$C$37)</f>
        <v/>
      </c>
    </row>
    <row r="38" ht="22" customHeight="1">
      <c r="C38" s="25" t="n"/>
      <c r="D38" s="35" t="inlineStr">
        <is>
          <t>2 sets</t>
        </is>
      </c>
      <c r="E38" s="36" t="n"/>
      <c r="F38" s="28" t="n"/>
      <c r="G38" s="37">
        <f>IF(COUNT(E38:F38)=2,E38+F38,"")</f>
        <v/>
      </c>
      <c r="H38" s="23">
        <f>IF($C$37="","",$C$37)</f>
        <v/>
      </c>
    </row>
    <row r="39" ht="22" customHeight="1">
      <c r="C39" s="31" t="n"/>
      <c r="D39" s="32" t="inlineStr">
        <is>
          <t>1 set (3 pairs)</t>
        </is>
      </c>
      <c r="E39" s="33" t="n"/>
      <c r="F39" s="21" t="n"/>
      <c r="G39" s="34">
        <f>IF(COUNT(E39:F39)=2,E39+F39,"")</f>
        <v/>
      </c>
      <c r="H39" s="23">
        <f>IF($C$39="","",$C$39)</f>
        <v/>
      </c>
    </row>
    <row r="40" ht="22" customHeight="1">
      <c r="C40" s="25" t="n"/>
      <c r="D40" s="35" t="inlineStr">
        <is>
          <t>2 sets</t>
        </is>
      </c>
      <c r="E40" s="36" t="n"/>
      <c r="F40" s="28" t="n"/>
      <c r="G40" s="37">
        <f>IF(COUNT(E40:F40)=2,E40+F40,"")</f>
        <v/>
      </c>
      <c r="H40" s="23">
        <f>IF($C$39="","",$C$39)</f>
        <v/>
      </c>
    </row>
    <row r="41" ht="22" customHeight="1">
      <c r="C41" s="31" t="n"/>
      <c r="D41" s="32" t="inlineStr">
        <is>
          <t>1 set (3 pairs)</t>
        </is>
      </c>
      <c r="E41" s="33" t="n"/>
      <c r="F41" s="21" t="n"/>
      <c r="G41" s="34">
        <f>IF(COUNT(E41:F41)=2,E41+F41,"")</f>
        <v/>
      </c>
      <c r="H41" s="23">
        <f>IF($C$41="","",$C$41)</f>
        <v/>
      </c>
    </row>
    <row r="42" ht="22" customHeight="1">
      <c r="C42" s="25" t="n"/>
      <c r="D42" s="35" t="inlineStr">
        <is>
          <t>2 sets</t>
        </is>
      </c>
      <c r="E42" s="36" t="n"/>
      <c r="F42" s="28" t="n"/>
      <c r="G42" s="37">
        <f>IF(COUNT(E42:F42)=2,E42+F42,"")</f>
        <v/>
      </c>
      <c r="H42" s="23">
        <f>IF($C$41="","",$C$41)</f>
        <v/>
      </c>
    </row>
    <row r="43" ht="22" customHeight="1">
      <c r="C43" s="31" t="n"/>
      <c r="D43" s="32" t="inlineStr">
        <is>
          <t>1 set (3 pairs)</t>
        </is>
      </c>
      <c r="E43" s="33" t="n"/>
      <c r="F43" s="21" t="n"/>
      <c r="G43" s="34">
        <f>IF(COUNT(E43:F43)=2,E43+F43,"")</f>
        <v/>
      </c>
      <c r="H43" s="23">
        <f>IF($C$43="","",$C$43)</f>
        <v/>
      </c>
    </row>
    <row r="44" ht="22" customHeight="1">
      <c r="C44" s="25" t="n"/>
      <c r="D44" s="35" t="inlineStr">
        <is>
          <t>2 sets</t>
        </is>
      </c>
      <c r="E44" s="36" t="n"/>
      <c r="F44" s="28" t="n"/>
      <c r="G44" s="37">
        <f>IF(COUNT(E44:F44)=2,E44+F44,"")</f>
        <v/>
      </c>
      <c r="H44" s="23">
        <f>IF($C$43="","",$C$43)</f>
        <v/>
      </c>
    </row>
    <row r="45" ht="22" customHeight="1">
      <c r="C45" s="31" t="n"/>
      <c r="D45" s="32" t="inlineStr">
        <is>
          <t>1 set (3 pairs)</t>
        </is>
      </c>
      <c r="E45" s="33" t="n"/>
      <c r="F45" s="21" t="n"/>
      <c r="G45" s="34">
        <f>IF(COUNT(E45:F45)=2,E45+F45,"")</f>
        <v/>
      </c>
      <c r="H45" s="23">
        <f>IF($C$45="","",$C$45)</f>
        <v/>
      </c>
    </row>
    <row r="46" ht="22" customHeight="1">
      <c r="C46" s="25" t="n"/>
      <c r="D46" s="35" t="inlineStr">
        <is>
          <t>2 sets</t>
        </is>
      </c>
      <c r="E46" s="36" t="n"/>
      <c r="F46" s="28" t="n"/>
      <c r="G46" s="37">
        <f>IF(COUNT(E46:F46)=2,E46+F46,"")</f>
        <v/>
      </c>
      <c r="H46" s="23">
        <f>IF($C$45="","",$C$45)</f>
        <v/>
      </c>
    </row>
    <row r="47" ht="22" customHeight="1">
      <c r="C47" s="31" t="n"/>
      <c r="D47" s="32" t="inlineStr">
        <is>
          <t>1 set (3 pairs)</t>
        </is>
      </c>
      <c r="E47" s="33" t="n"/>
      <c r="F47" s="21" t="n"/>
      <c r="G47" s="34">
        <f>IF(COUNT(E47:F47)=2,E47+F47,"")</f>
        <v/>
      </c>
      <c r="H47" s="23">
        <f>IF($C$47="","",$C$47)</f>
        <v/>
      </c>
    </row>
    <row r="48" ht="22" customHeight="1">
      <c r="C48" s="25" t="n"/>
      <c r="D48" s="35" t="inlineStr">
        <is>
          <t>2 sets</t>
        </is>
      </c>
      <c r="E48" s="36" t="n"/>
      <c r="F48" s="28" t="n"/>
      <c r="G48" s="37">
        <f>IF(COUNT(E48:F48)=2,E48+F48,"")</f>
        <v/>
      </c>
      <c r="H48" s="23">
        <f>IF($C$47="","",$C$47)</f>
        <v/>
      </c>
    </row>
    <row r="49" ht="22" customHeight="1">
      <c r="C49" s="31" t="n"/>
      <c r="D49" s="32" t="inlineStr">
        <is>
          <t>1 set (3 pairs)</t>
        </is>
      </c>
      <c r="E49" s="33" t="n"/>
      <c r="F49" s="21" t="n"/>
      <c r="G49" s="34">
        <f>IF(COUNT(E49:F49)=2,E49+F49,"")</f>
        <v/>
      </c>
      <c r="H49" s="23">
        <f>IF($C$49="","",$C$49)</f>
        <v/>
      </c>
    </row>
    <row r="50" ht="22" customHeight="1">
      <c r="C50" s="25" t="n"/>
      <c r="D50" s="35" t="inlineStr">
        <is>
          <t>2 sets</t>
        </is>
      </c>
      <c r="E50" s="36" t="n"/>
      <c r="F50" s="28" t="n"/>
      <c r="G50" s="37">
        <f>IF(COUNT(E50:F50)=2,E50+F50,"")</f>
        <v/>
      </c>
      <c r="H50" s="23">
        <f>IF($C$49="","",$C$49)</f>
        <v/>
      </c>
    </row>
    <row r="51" ht="22" customHeight="1">
      <c r="C51" s="31" t="n"/>
      <c r="D51" s="32" t="inlineStr">
        <is>
          <t>1 set (3 pairs)</t>
        </is>
      </c>
      <c r="E51" s="33" t="n"/>
      <c r="F51" s="21" t="n"/>
      <c r="G51" s="34">
        <f>IF(COUNT(E51:F51)=2,E51+F51,"")</f>
        <v/>
      </c>
      <c r="H51" s="23">
        <f>IF($C$51="","",$C$51)</f>
        <v/>
      </c>
    </row>
    <row r="52" ht="22" customHeight="1">
      <c r="C52" s="25" t="n"/>
      <c r="D52" s="35" t="inlineStr">
        <is>
          <t>2 sets</t>
        </is>
      </c>
      <c r="E52" s="36" t="n"/>
      <c r="F52" s="28" t="n"/>
      <c r="G52" s="37">
        <f>IF(COUNT(E52:F52)=2,E52+F52,"")</f>
        <v/>
      </c>
      <c r="H52" s="23">
        <f>IF($C$51="","",$C$51)</f>
        <v/>
      </c>
    </row>
    <row r="53" ht="22" customHeight="1">
      <c r="C53" s="31" t="n"/>
      <c r="D53" s="32" t="inlineStr">
        <is>
          <t>1 set (3 pairs)</t>
        </is>
      </c>
      <c r="E53" s="33" t="n"/>
      <c r="F53" s="21" t="n"/>
      <c r="G53" s="34">
        <f>IF(COUNT(E53:F53)=2,E53+F53,"")</f>
        <v/>
      </c>
      <c r="H53" s="23">
        <f>IF($C$53="","",$C$53)</f>
        <v/>
      </c>
    </row>
    <row r="54" ht="22" customHeight="1">
      <c r="C54" s="25" t="n"/>
      <c r="D54" s="35" t="inlineStr">
        <is>
          <t>2 sets</t>
        </is>
      </c>
      <c r="E54" s="36" t="n"/>
      <c r="F54" s="28" t="n"/>
      <c r="G54" s="37">
        <f>IF(COUNT(E54:F54)=2,E54+F54,"")</f>
        <v/>
      </c>
      <c r="H54" s="23">
        <f>IF($C$53="","",$C$53)</f>
        <v/>
      </c>
    </row>
    <row r="55" ht="22" customHeight="1">
      <c r="C55" s="31" t="n"/>
      <c r="D55" s="32" t="inlineStr">
        <is>
          <t>1 set (3 pairs)</t>
        </is>
      </c>
      <c r="E55" s="33" t="n"/>
      <c r="F55" s="21" t="n"/>
      <c r="G55" s="34">
        <f>IF(COUNT(E55:F55)=2,E55+F55,"")</f>
        <v/>
      </c>
      <c r="H55" s="23">
        <f>IF($C$55="","",$C$55)</f>
        <v/>
      </c>
    </row>
    <row r="56" ht="22" customHeight="1">
      <c r="C56" s="25" t="n"/>
      <c r="D56" s="35" t="inlineStr">
        <is>
          <t>2 sets</t>
        </is>
      </c>
      <c r="E56" s="36" t="n"/>
      <c r="F56" s="28" t="n"/>
      <c r="G56" s="37">
        <f>IF(COUNT(E56:F56)=2,E56+F56,"")</f>
        <v/>
      </c>
      <c r="H56" s="23">
        <f>IF($C$55="","",$C$55)</f>
        <v/>
      </c>
    </row>
    <row r="57" ht="22" customHeight="1">
      <c r="C57" s="31" t="n"/>
      <c r="D57" s="32" t="inlineStr">
        <is>
          <t>1 set (3 pairs)</t>
        </is>
      </c>
      <c r="E57" s="33" t="n"/>
      <c r="F57" s="21" t="n"/>
      <c r="G57" s="34">
        <f>IF(COUNT(E57:F57)=2,E57+F57,"")</f>
        <v/>
      </c>
      <c r="H57" s="23">
        <f>IF($C$57="","",$C$57)</f>
        <v/>
      </c>
    </row>
    <row r="58" ht="22" customHeight="1">
      <c r="C58" s="25" t="n"/>
      <c r="D58" s="35" t="inlineStr">
        <is>
          <t>2 sets</t>
        </is>
      </c>
      <c r="E58" s="36" t="n"/>
      <c r="F58" s="28" t="n"/>
      <c r="G58" s="37">
        <f>IF(COUNT(E58:F58)=2,E58+F58,"")</f>
        <v/>
      </c>
      <c r="H58" s="23">
        <f>IF($C$57="","",$C$57)</f>
        <v/>
      </c>
    </row>
    <row r="59" ht="22" customHeight="1">
      <c r="C59" s="31" t="n"/>
      <c r="D59" s="32" t="inlineStr">
        <is>
          <t>1 set (3 pairs)</t>
        </is>
      </c>
      <c r="E59" s="33" t="n"/>
      <c r="F59" s="21" t="n"/>
      <c r="G59" s="34">
        <f>IF(COUNT(E59:F59)=2,E59+F59,"")</f>
        <v/>
      </c>
      <c r="H59" s="23">
        <f>IF($C$59="","",$C$59)</f>
        <v/>
      </c>
    </row>
    <row r="60" ht="22" customHeight="1">
      <c r="C60" s="25" t="n"/>
      <c r="D60" s="35" t="inlineStr">
        <is>
          <t>2 sets</t>
        </is>
      </c>
      <c r="E60" s="36" t="n"/>
      <c r="F60" s="28" t="n"/>
      <c r="G60" s="37">
        <f>IF(COUNT(E60:F60)=2,E60+F60,"")</f>
        <v/>
      </c>
      <c r="H60" s="23">
        <f>IF($C$59="","",$C$59)</f>
        <v/>
      </c>
    </row>
    <row r="61" ht="22" customHeight="1">
      <c r="C61" s="31" t="n"/>
      <c r="D61" s="32" t="inlineStr">
        <is>
          <t>1 set (3 pairs)</t>
        </is>
      </c>
      <c r="E61" s="33" t="n"/>
      <c r="F61" s="21" t="n"/>
      <c r="G61" s="34">
        <f>IF(COUNT(E61:F61)=2,E61+F61,"")</f>
        <v/>
      </c>
      <c r="H61" s="23">
        <f>IF($C$61="","",$C$61)</f>
        <v/>
      </c>
    </row>
    <row r="62" ht="22" customHeight="1">
      <c r="C62" s="25" t="n"/>
      <c r="D62" s="35" t="inlineStr">
        <is>
          <t>2 sets</t>
        </is>
      </c>
      <c r="E62" s="36" t="n"/>
      <c r="F62" s="28" t="n"/>
      <c r="G62" s="37">
        <f>IF(COUNT(E62:F62)=2,E62+F62,"")</f>
        <v/>
      </c>
      <c r="H62" s="23">
        <f>IF($C$61="","",$C$61)</f>
        <v/>
      </c>
    </row>
    <row r="63" ht="22" customHeight="1">
      <c r="C63" s="31" t="n"/>
      <c r="D63" s="32" t="inlineStr">
        <is>
          <t>1 set (3 pairs)</t>
        </is>
      </c>
      <c r="E63" s="33" t="n"/>
      <c r="F63" s="21" t="n"/>
      <c r="G63" s="34">
        <f>IF(COUNT(E63:F63)=2,E63+F63,"")</f>
        <v/>
      </c>
      <c r="H63" s="23">
        <f>IF($C$63="","",$C$63)</f>
        <v/>
      </c>
    </row>
    <row r="64" ht="22" customHeight="1">
      <c r="C64" s="25" t="n"/>
      <c r="D64" s="35" t="inlineStr">
        <is>
          <t>2 sets</t>
        </is>
      </c>
      <c r="E64" s="36" t="n"/>
      <c r="F64" s="28" t="n"/>
      <c r="G64" s="37">
        <f>IF(COUNT(E64:F64)=2,E64+F64,"")</f>
        <v/>
      </c>
      <c r="H64" s="23">
        <f>IF($C$63="","",$C$63)</f>
        <v/>
      </c>
    </row>
  </sheetData>
  <mergeCells count="33">
    <mergeCell ref="B2:G2"/>
    <mergeCell ref="C33:C34"/>
    <mergeCell ref="C29:C30"/>
    <mergeCell ref="B1:G1"/>
    <mergeCell ref="C45:C46"/>
    <mergeCell ref="C63:C64"/>
    <mergeCell ref="C59:C60"/>
    <mergeCell ref="C35:C36"/>
    <mergeCell ref="C9:C10"/>
    <mergeCell ref="C47:C48"/>
    <mergeCell ref="C25:C26"/>
    <mergeCell ref="C41:C42"/>
    <mergeCell ref="C21:C22"/>
    <mergeCell ref="C55:C56"/>
    <mergeCell ref="C31:C32"/>
    <mergeCell ref="C11:C12"/>
    <mergeCell ref="B5:B22"/>
    <mergeCell ref="B24:G24"/>
    <mergeCell ref="C43:C44"/>
    <mergeCell ref="C61:C62"/>
    <mergeCell ref="C51:C52"/>
    <mergeCell ref="C57:C58"/>
    <mergeCell ref="C17:C18"/>
    <mergeCell ref="C27:C28"/>
    <mergeCell ref="C7:C8"/>
    <mergeCell ref="C39:C40"/>
    <mergeCell ref="C19:C20"/>
    <mergeCell ref="C13:C14"/>
    <mergeCell ref="C53:C54"/>
    <mergeCell ref="C37:C38"/>
    <mergeCell ref="C15:C16"/>
    <mergeCell ref="C49:C50"/>
    <mergeCell ref="C5:C6"/>
  </mergeCells>
  <pageMargins left="0.75" right="0.75" top="1" bottom="1" header="0.5" footer="0.5"/>
  <pageSetup orientation="portrait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2026-09-29T08:04:42Z</dcterms:created>
  <dcterms:modified xsi:type="dcterms:W3CDTF">2026-09-29T08:04:42Z</dcterms:modified>
</cp:coreProperties>
</file>