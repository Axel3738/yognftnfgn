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pplier Quo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.mm"/>
    <numFmt numFmtId="165" formatCode="[hh].mm.ss"/>
  </numFmts>
  <fonts count="16">
    <font>
      <name val="Carlito"/>
      <color rgb="FF000000"/>
      <sz val="11"/>
      <scheme val="minor"/>
    </font>
    <font>
      <name val="Carlito"/>
      <b val="1"/>
      <color rgb="FFFFFFFF"/>
      <sz val="16"/>
    </font>
    <font>
      <name val="Carlito"/>
      <i val="1"/>
      <color rgb="FF30475E"/>
      <sz val="10"/>
    </font>
    <font>
      <name val="Carlito"/>
      <b val="1"/>
      <color rgb="FFFFFFFF"/>
      <sz val="11"/>
    </font>
    <font>
      <name val="Carlito"/>
      <b val="1"/>
      <color rgb="FF253746"/>
      <sz val="9"/>
    </font>
    <font>
      <name val="Carlito"/>
      <b val="1"/>
      <color rgb="FF17324D"/>
      <sz val="10"/>
    </font>
    <font>
      <name val="Carlito"/>
      <color theme="1"/>
      <sz val="11"/>
    </font>
    <font>
      <name val="Carlito"/>
      <color theme="1"/>
      <scheme val="minor"/>
    </font>
    <font>
      <name val="Carlito"/>
      <color theme="1"/>
      <sz val="12"/>
      <scheme val="minor"/>
    </font>
    <font>
      <name val="Helvetica Neue"/>
      <color rgb="FF303133"/>
      <sz val="11"/>
    </font>
    <font>
      <name val="Carlito"/>
      <color theme="1"/>
      <sz val="8"/>
    </font>
    <font>
      <name val="Carlito"/>
      <color theme="1"/>
    </font>
    <font>
      <name val="Carlito"/>
      <color rgb="FF1A5E96"/>
      <sz val="8"/>
    </font>
    <font>
      <name val="Carlito"/>
      <color rgb="FF0000FF"/>
      <sz val="8"/>
      <u val="single"/>
    </font>
    <font>
      <name val="Carlito"/>
      <color theme="1"/>
      <sz val="12"/>
    </font>
    <font>
      <name val="Carlito"/>
      <color rgb="FF1A5E96"/>
      <sz val="8"/>
      <u val="single"/>
    </font>
  </fonts>
  <fills count="24">
    <fill>
      <patternFill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EAF1F5"/>
        <bgColor rgb="FFEAF1F5"/>
      </patternFill>
    </fill>
    <fill>
      <patternFill patternType="solid">
        <fgColor rgb="FF244E66"/>
        <bgColor rgb="FF244E66"/>
      </patternFill>
    </fill>
    <fill>
      <patternFill patternType="solid">
        <fgColor rgb="FF527CA5"/>
        <bgColor rgb="FF527CA5"/>
      </patternFill>
    </fill>
    <fill>
      <patternFill patternType="solid">
        <fgColor rgb="FF6C6294"/>
        <bgColor rgb="FF6C6294"/>
      </patternFill>
    </fill>
    <fill>
      <patternFill patternType="solid">
        <fgColor rgb="FFB17C2D"/>
        <bgColor rgb="FFB17C2D"/>
      </patternFill>
    </fill>
    <fill>
      <patternFill patternType="solid">
        <fgColor rgb="FF9B5D6C"/>
        <bgColor rgb="FF9B5D6C"/>
      </patternFill>
    </fill>
    <fill>
      <patternFill patternType="solid">
        <fgColor rgb="FFA2C4C9"/>
        <bgColor rgb="FFA2C4C9"/>
      </patternFill>
    </fill>
    <fill>
      <patternFill patternType="solid">
        <fgColor rgb="FFD8E0E6"/>
        <bgColor rgb="FFD8E0E6"/>
      </patternFill>
    </fill>
    <fill>
      <patternFill patternType="solid">
        <fgColor rgb="FFD9EAF2"/>
        <bgColor rgb="FFD9EAF2"/>
      </patternFill>
    </fill>
    <fill>
      <patternFill patternType="solid">
        <fgColor rgb="FFFFF2CC"/>
        <bgColor rgb="FFFFF2CC"/>
      </patternFill>
    </fill>
    <fill>
      <patternFill patternType="solid">
        <fgColor rgb="FFE7EAED"/>
        <bgColor rgb="FFE7EAED"/>
      </patternFill>
    </fill>
    <fill>
      <patternFill patternType="solid">
        <fgColor rgb="FFF4F7FA"/>
        <bgColor rgb="FFF4F7FA"/>
      </patternFill>
    </fill>
    <fill>
      <patternFill patternType="solid">
        <fgColor rgb="FFDCEAF7"/>
        <bgColor rgb="FFDCEAF7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5EDF3"/>
        <bgColor rgb="FFE5EDF3"/>
      </patternFill>
    </fill>
    <fill>
      <patternFill patternType="solid">
        <fgColor rgb="FFF7FBFD"/>
        <bgColor rgb="FFF7FBFD"/>
      </patternFill>
    </fill>
    <fill>
      <patternFill patternType="solid">
        <fgColor rgb="FFCFE2F3"/>
        <bgColor rgb="FFCFE2F3"/>
      </patternFill>
    </fill>
  </fills>
  <borders count="1">
    <border/>
  </borders>
  <cellStyleXfs count="1">
    <xf numFmtId="0" fontId="0" fillId="0" borderId="0"/>
  </cellStyleXfs>
  <cellXfs count="72">
    <xf numFmtId="0" fontId="0" fillId="0" borderId="0" applyAlignment="1" pivotButton="0" quotePrefix="0" xfId="0">
      <alignment vertical="bottom"/>
    </xf>
    <xf numFmtId="49" fontId="1" fillId="2" borderId="0" applyAlignment="1" pivotButton="0" quotePrefix="0" xfId="0">
      <alignment horizontal="center" vertical="center"/>
    </xf>
    <xf numFmtId="49" fontId="2" fillId="3" borderId="0" applyAlignment="1" pivotButton="0" quotePrefix="0" xfId="0">
      <alignment horizontal="center" vertical="center" wrapText="1"/>
    </xf>
    <xf numFmtId="49" fontId="3" fillId="4" borderId="0" applyAlignment="1" pivotButton="0" quotePrefix="0" xfId="0">
      <alignment horizontal="center" vertical="center" wrapText="1"/>
    </xf>
    <xf numFmtId="49" fontId="3" fillId="5" borderId="0" applyAlignment="1" pivotButton="0" quotePrefix="0" xfId="0">
      <alignment horizontal="center" vertical="center"/>
    </xf>
    <xf numFmtId="49" fontId="3" fillId="6" borderId="0" applyAlignment="1" pivotButton="0" quotePrefix="0" xfId="0">
      <alignment horizontal="center" vertical="center"/>
    </xf>
    <xf numFmtId="49" fontId="3" fillId="7" borderId="0" applyAlignment="1" pivotButton="0" quotePrefix="0" xfId="0">
      <alignment horizontal="center" vertical="center"/>
    </xf>
    <xf numFmtId="49" fontId="3" fillId="8" borderId="0" applyAlignment="1" pivotButton="0" quotePrefix="0" xfId="0">
      <alignment horizontal="center" vertical="center"/>
    </xf>
    <xf numFmtId="49" fontId="3" fillId="9" borderId="0" applyAlignment="1" pivotButton="0" quotePrefix="0" xfId="0">
      <alignment horizontal="center" vertical="center"/>
    </xf>
    <xf numFmtId="49" fontId="4" fillId="10" borderId="0" applyAlignment="1" pivotButton="0" quotePrefix="0" xfId="0">
      <alignment horizontal="center" vertical="center" wrapText="1"/>
    </xf>
    <xf numFmtId="49" fontId="5" fillId="1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wrapText="1"/>
    </xf>
    <xf numFmtId="49" fontId="6" fillId="12" borderId="0" applyAlignment="1" pivotButton="0" quotePrefix="0" xfId="0">
      <alignment horizontal="right"/>
    </xf>
    <xf numFmtId="49" fontId="6" fillId="13" borderId="0" applyAlignment="1" pivotButton="0" quotePrefix="0" xfId="0">
      <alignment horizontal="center"/>
    </xf>
    <xf numFmtId="49" fontId="6" fillId="14" borderId="0" applyAlignment="1" pivotButton="0" quotePrefix="0" xfId="0">
      <alignment horizontal="center"/>
    </xf>
    <xf numFmtId="49" fontId="7" fillId="0" borderId="0" pivotButton="0" quotePrefix="0" xfId="0"/>
    <xf numFmtId="49" fontId="8" fillId="0" borderId="0" applyAlignment="1" pivotButton="0" quotePrefix="0" xfId="0">
      <alignment horizontal="center"/>
    </xf>
    <xf numFmtId="49" fontId="6" fillId="0" borderId="0" applyAlignment="1" pivotButton="0" quotePrefix="0" xfId="0">
      <alignment horizontal="center" vertical="bottom" wrapText="1"/>
    </xf>
    <xf numFmtId="49" fontId="6" fillId="12" borderId="0" applyAlignment="1" pivotButton="0" quotePrefix="0" xfId="0">
      <alignment horizontal="center" wrapText="1"/>
    </xf>
    <xf numFmtId="49" fontId="6" fillId="15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 vertical="center"/>
    </xf>
    <xf numFmtId="49" fontId="6" fillId="16" borderId="0" applyAlignment="1" pivotButton="0" quotePrefix="0" xfId="0">
      <alignment horizontal="center"/>
    </xf>
    <xf numFmtId="49" fontId="6" fillId="17" borderId="0" applyAlignment="1" pivotButton="0" quotePrefix="0" xfId="0">
      <alignment horizontal="center"/>
    </xf>
    <xf numFmtId="49" fontId="6" fillId="18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9" fillId="12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 wrapText="1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 wrapText="1"/>
    </xf>
    <xf numFmtId="49" fontId="6" fillId="16" borderId="0" applyAlignment="1" pivotButton="0" quotePrefix="0" xfId="0">
      <alignment horizontal="center" vertical="center"/>
    </xf>
    <xf numFmtId="49" fontId="6" fillId="17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5" fillId="2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3" borderId="0" applyAlignment="1" pivotButton="0" quotePrefix="0" xfId="0">
      <alignment horizontal="center" vertical="center"/>
    </xf>
    <xf numFmtId="49" fontId="6" fillId="14" borderId="0" applyAlignment="1" pivotButton="0" quotePrefix="0" xfId="0">
      <alignment horizontal="center" vertical="center"/>
    </xf>
    <xf numFmtId="49" fontId="10" fillId="14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/>
    </xf>
    <xf numFmtId="49" fontId="6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/>
    </xf>
    <xf numFmtId="164" fontId="7" fillId="0" borderId="0" pivotButton="0" quotePrefix="0" xfId="0"/>
    <xf numFmtId="165" fontId="7" fillId="0" borderId="0" pivotButton="0" quotePrefix="0" xfId="0"/>
    <xf numFmtId="165" fontId="7" fillId="0" borderId="0" applyAlignment="1" pivotButton="0" quotePrefix="0" xfId="0">
      <alignment horizontal="center"/>
    </xf>
    <xf numFmtId="49" fontId="13" fillId="22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pivotButton="0" quotePrefix="0" xfId="0"/>
    <xf numFmtId="49" fontId="14" fillId="0" borderId="0" applyAlignment="1" pivotButton="0" quotePrefix="0" xfId="0">
      <alignment horizontal="center"/>
    </xf>
    <xf numFmtId="49" fontId="11" fillId="23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/>
    </xf>
    <xf numFmtId="49" fontId="6" fillId="20" borderId="0" applyAlignment="1" pivotButton="0" quotePrefix="0" xfId="0">
      <alignment horizontal="center"/>
    </xf>
    <xf numFmtId="49" fontId="6" fillId="23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 wrapText="1"/>
    </xf>
    <xf numFmtId="49" fontId="11" fillId="12" borderId="0" applyAlignment="1" pivotButton="0" quotePrefix="0" xfId="0">
      <alignment horizontal="center"/>
    </xf>
    <xf numFmtId="49" fontId="11" fillId="20" borderId="0" applyAlignment="1" pivotButton="0" quotePrefix="0" xfId="0">
      <alignment horizontal="center"/>
    </xf>
    <xf numFmtId="49" fontId="11" fillId="19" borderId="0" applyAlignment="1" pivotButton="0" quotePrefix="0" xfId="0">
      <alignment horizontal="center"/>
    </xf>
    <xf numFmtId="49" fontId="11" fillId="0" borderId="0" pivotButton="0" quotePrefix="0" xfId="0"/>
    <xf numFmtId="49" fontId="15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4" fillId="2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emu.com/nz/1pc-durable-waterproof-chicken-coop-tarp-cover-with-elastic-bungee-cords-and-rope-tear-resistant-poultry-cage-cover-for-winter--for-large-walk-in--pen-g-60109975617077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36"/>
  <sheetViews>
    <sheetView workbookViewId="0">
      <selection activeCell="A1" sqref="A1"/>
    </sheetView>
  </sheetViews>
  <sheetFormatPr baseColWidth="8" defaultColWidth="12.63" defaultRowHeight="15" customHeight="1"/>
  <cols>
    <col width="18" customWidth="1" style="71" min="1" max="1"/>
    <col width="4" customWidth="1" style="71" min="2" max="3"/>
    <col width="44.25" customWidth="1" style="71" min="4" max="4"/>
    <col width="12" customWidth="1" style="71" min="5" max="5"/>
    <col width="7" customWidth="1" style="71" min="6" max="7"/>
    <col width="14" customWidth="1" style="71" min="8" max="8"/>
    <col width="11" customWidth="1" style="71" min="9" max="11"/>
    <col width="13" customWidth="1" style="71" min="12" max="12"/>
    <col width="20" customWidth="1" style="71" min="13" max="13"/>
    <col width="13" customWidth="1" style="71" min="14" max="14"/>
    <col width="8" customWidth="1" style="71" min="15" max="16"/>
    <col width="29.63" customWidth="1" style="71" min="17" max="17"/>
    <col width="15.5" customWidth="1" style="71" min="18" max="18"/>
    <col width="10" customWidth="1" style="71" min="19" max="20"/>
    <col width="11" customWidth="1" style="71" min="21" max="21"/>
    <col width="14" customWidth="1" style="71" min="22" max="23"/>
    <col hidden="1" width="6" customWidth="1" style="71" min="24" max="24"/>
    <col hidden="1" width="10" customWidth="1" style="71" min="25" max="26"/>
    <col hidden="1" width="11" customWidth="1" style="71" min="27" max="27"/>
    <col hidden="1" width="14" customWidth="1" style="71" min="28" max="29"/>
    <col hidden="1" width="6" customWidth="1" style="71" min="30" max="30"/>
    <col hidden="1" width="10" customWidth="1" style="71" min="31" max="32"/>
    <col hidden="1" width="11" customWidth="1" style="71" min="33" max="33"/>
    <col hidden="1" width="14" customWidth="1" style="71" min="34" max="35"/>
    <col width="6" customWidth="1" style="71" min="36" max="36"/>
    <col width="10" customWidth="1" style="71" min="37" max="38"/>
    <col width="11" customWidth="1" style="71" min="39" max="39"/>
    <col width="14" customWidth="1" style="71" min="40" max="47"/>
  </cols>
  <sheetData>
    <row r="1" ht="27.75" customHeight="1" s="71">
      <c r="A1" s="1" t="n">
        <v>8</v>
      </c>
      <c r="AP1" s="1" t="n"/>
      <c r="AQ1" s="1" t="n"/>
      <c r="AR1" s="1" t="n"/>
      <c r="AS1" s="1" t="n"/>
      <c r="AT1" s="1" t="n"/>
      <c r="AU1" s="1" t="n"/>
    </row>
    <row r="2" ht="30" customHeight="1" s="71">
      <c r="A2" s="2" t="inlineStr">
        <is>
          <t>Please fill all yellow cells. No prices have been pre-filled. Enter product cost, shipping cost, delivery time and shipping method for quantities 1, 2 and 3 to each market.</t>
        </is>
      </c>
      <c r="AP2" s="2" t="n"/>
      <c r="AQ2" s="2" t="n"/>
      <c r="AR2" s="2" t="n"/>
      <c r="AS2" s="2" t="n"/>
      <c r="AT2" s="2" t="n"/>
      <c r="AU2" s="2" t="n"/>
    </row>
    <row r="3" ht="25.5" customHeight="1" s="71">
      <c r="A3" s="3" t="inlineStr">
        <is>
          <t>Product image</t>
        </is>
      </c>
      <c r="D3" s="3" t="inlineStr">
        <is>
          <t>product name</t>
        </is>
      </c>
      <c r="E3" s="3" t="inlineStr">
        <is>
          <t>QUOTE IMAGE / NOTES</t>
        </is>
      </c>
      <c r="H3" s="3" t="inlineStr">
        <is>
          <t>Sale price on my store
(leave blank)</t>
        </is>
      </c>
      <c r="I3" s="3" t="inlineStr">
        <is>
          <t>MARKET</t>
        </is>
      </c>
      <c r="J3" s="3" t="inlineStr">
        <is>
          <t>Product cost</t>
        </is>
      </c>
      <c r="K3" s="3" t="inlineStr">
        <is>
          <t>Shipping cost</t>
        </is>
      </c>
      <c r="L3" s="3" t="inlineStr">
        <is>
          <t>Total tax exclusive</t>
        </is>
      </c>
      <c r="M3" s="3" t="inlineStr">
        <is>
          <t>Bäverbutiken link</t>
        </is>
      </c>
      <c r="N3" s="3" t="inlineStr">
        <is>
          <t>TEMU LINK</t>
        </is>
      </c>
      <c r="Q3" s="3" t="inlineStr">
        <is>
          <t>Supplier ref / variant</t>
        </is>
      </c>
      <c r="R3" s="4" t="inlineStr">
        <is>
          <t>NORWAY</t>
        </is>
      </c>
      <c r="X3" s="5" t="inlineStr">
        <is>
          <t>FINLAND</t>
        </is>
      </c>
      <c r="AD3" s="6" t="inlineStr">
        <is>
          <t>DENMARK</t>
        </is>
      </c>
      <c r="AJ3" s="7" t="inlineStr">
        <is>
          <t>UK</t>
        </is>
      </c>
      <c r="AP3" s="8" t="inlineStr">
        <is>
          <t>US</t>
        </is>
      </c>
    </row>
    <row r="4" ht="25.5" customHeight="1" s="71">
      <c r="D4" s="3" t="n"/>
      <c r="R4" s="9" t="inlineStr">
        <is>
          <t>Qty</t>
        </is>
      </c>
      <c r="S4" s="9" t="inlineStr">
        <is>
          <t>Product cost</t>
        </is>
      </c>
      <c r="T4" s="9" t="inlineStr">
        <is>
          <t>Shipping cost</t>
        </is>
      </c>
      <c r="U4" s="9" t="inlineStr">
        <is>
          <t>Total ex. tax</t>
        </is>
      </c>
      <c r="V4" s="9" t="inlineStr">
        <is>
          <t>Delivery time</t>
        </is>
      </c>
      <c r="W4" s="9" t="inlineStr">
        <is>
          <t>Shipping method</t>
        </is>
      </c>
      <c r="X4" s="9" t="inlineStr">
        <is>
          <t>Qty</t>
        </is>
      </c>
      <c r="Y4" s="9" t="inlineStr">
        <is>
          <t>Product cost</t>
        </is>
      </c>
      <c r="Z4" s="9" t="inlineStr">
        <is>
          <t>Shipping cost</t>
        </is>
      </c>
      <c r="AA4" s="9" t="inlineStr">
        <is>
          <t>Total ex. tax</t>
        </is>
      </c>
      <c r="AB4" s="9" t="inlineStr">
        <is>
          <t>Delivery time</t>
        </is>
      </c>
      <c r="AC4" s="9" t="inlineStr">
        <is>
          <t>Shipping method</t>
        </is>
      </c>
      <c r="AD4" s="9" t="inlineStr">
        <is>
          <t>Qty</t>
        </is>
      </c>
      <c r="AE4" s="9" t="inlineStr">
        <is>
          <t>Product cost</t>
        </is>
      </c>
      <c r="AF4" s="9" t="inlineStr">
        <is>
          <t>Shipping cost</t>
        </is>
      </c>
      <c r="AG4" s="9" t="inlineStr">
        <is>
          <t>Total ex. tax</t>
        </is>
      </c>
      <c r="AH4" s="9" t="inlineStr">
        <is>
          <t>Delivery time</t>
        </is>
      </c>
      <c r="AI4" s="9" t="inlineStr">
        <is>
          <t>Shipping method</t>
        </is>
      </c>
      <c r="AJ4" s="9" t="inlineStr">
        <is>
          <t>Qty</t>
        </is>
      </c>
      <c r="AK4" s="9" t="inlineStr">
        <is>
          <t>Product cost</t>
        </is>
      </c>
      <c r="AL4" s="9" t="inlineStr">
        <is>
          <t>Shipping cost</t>
        </is>
      </c>
      <c r="AM4" s="9" t="inlineStr">
        <is>
          <t>Total ex. tax</t>
        </is>
      </c>
      <c r="AN4" s="9" t="inlineStr">
        <is>
          <t>Delivery time</t>
        </is>
      </c>
      <c r="AO4" s="9" t="inlineStr">
        <is>
          <t>Shipping method</t>
        </is>
      </c>
      <c r="AP4" s="9" t="inlineStr">
        <is>
          <t>Qty</t>
        </is>
      </c>
      <c r="AQ4" s="9" t="inlineStr">
        <is>
          <t>Product cost</t>
        </is>
      </c>
      <c r="AR4" s="9" t="inlineStr">
        <is>
          <t>Shipping cost</t>
        </is>
      </c>
      <c r="AS4" s="9" t="inlineStr">
        <is>
          <t>Total ex. tax</t>
        </is>
      </c>
      <c r="AT4" s="9" t="inlineStr">
        <is>
          <t>Delivery time</t>
        </is>
      </c>
      <c r="AU4" s="9" t="inlineStr">
        <is>
          <t>Shipping method</t>
        </is>
      </c>
    </row>
    <row r="5" ht="24" customHeight="1" s="71">
      <c r="A5" s="10">
        <f>IMAGE("https://ae-pic-a1.aliexpress-media.com/kf/Sd362c7c33848404bb3e573470af41733h.jpg")</f>
        <v/>
      </c>
      <c r="D5" s="18" t="inlineStr">
        <is>
          <t>Flexible Chimney Sweep Set Flue Sweeping Brush &amp; Rod Kit Soot Cleaning…</t>
        </is>
      </c>
      <c r="E5" s="12" t="inlineStr">
        <is>
          <t>AliExpress: US $15.81. Vår räkning: landad ca 228 kr, tänkt butikspris 599 kr. Originaltitel: Flexible Chimney Sweep Set Flue Sweeping Brush &amp; Rod Kit Soot Cleaning Rods Nylon Brush Cleaning Tool Kit</t>
        </is>
      </c>
      <c r="H5" s="13" t="n"/>
      <c r="I5" s="14" t="inlineStr">
        <is>
          <t>SWEDEN</t>
        </is>
      </c>
      <c r="J5" s="15" t="n"/>
      <c r="K5" s="15" t="n"/>
      <c r="L5" s="16" t="n"/>
      <c r="M5" s="14" t="n"/>
      <c r="N5" s="17" t="inlineStr">
        <is>
          <t>https://www.aliexpress.com/item/1005008077527346.html</t>
        </is>
      </c>
      <c r="Q5" s="18" t="n"/>
      <c r="R5" s="19" t="n">
        <v>100</v>
      </c>
      <c r="S5" s="15" t="n"/>
      <c r="T5" s="15" t="n"/>
      <c r="U5" s="16" t="n"/>
      <c r="V5" s="48" t="n"/>
      <c r="W5" s="48" t="n"/>
      <c r="X5" s="21" t="n"/>
      <c r="Y5" s="15" t="n"/>
      <c r="Z5" s="15" t="n"/>
      <c r="AA5" s="16" t="n"/>
      <c r="AB5" s="48" t="n"/>
      <c r="AC5" s="48" t="n"/>
      <c r="AD5" s="22" t="n"/>
      <c r="AE5" s="15" t="n"/>
      <c r="AF5" s="15" t="n"/>
      <c r="AG5" s="16" t="n"/>
      <c r="AH5" s="48" t="n"/>
      <c r="AI5" s="48" t="n"/>
      <c r="AJ5" s="23" t="n"/>
      <c r="AK5" s="15" t="n"/>
      <c r="AL5" s="15" t="n"/>
      <c r="AM5" s="16" t="n"/>
      <c r="AN5" s="25" t="n"/>
      <c r="AO5" s="48" t="n"/>
      <c r="AP5" s="23" t="n"/>
      <c r="AQ5" s="15" t="n"/>
      <c r="AR5" s="15" t="n"/>
      <c r="AS5" s="16" t="n"/>
      <c r="AT5" s="25" t="n"/>
      <c r="AU5" s="26" t="n"/>
    </row>
    <row r="6" ht="25.5" customHeight="1" s="71">
      <c r="D6" s="18" t="n"/>
      <c r="J6" s="15" t="n"/>
      <c r="K6" s="15" t="n"/>
      <c r="L6" s="16" t="n"/>
      <c r="R6" s="19" t="n">
        <v>200</v>
      </c>
      <c r="S6" s="15" t="n"/>
      <c r="T6" s="15" t="n"/>
      <c r="U6" s="16" t="n"/>
      <c r="X6" s="21" t="n"/>
      <c r="Y6" s="15" t="n"/>
      <c r="Z6" s="15" t="n"/>
      <c r="AA6" s="16" t="n"/>
      <c r="AD6" s="22" t="n"/>
      <c r="AE6" s="15" t="n"/>
      <c r="AF6" s="15" t="n"/>
      <c r="AG6" s="16" t="n"/>
      <c r="AH6" s="48" t="n"/>
      <c r="AI6" s="48" t="n"/>
      <c r="AJ6" s="23" t="n"/>
      <c r="AK6" s="15" t="n"/>
      <c r="AL6" s="15" t="n"/>
      <c r="AM6" s="16" t="n"/>
      <c r="AP6" s="23" t="n"/>
      <c r="AQ6" s="15" t="n"/>
      <c r="AR6" s="15" t="n"/>
      <c r="AS6" s="16" t="n"/>
    </row>
    <row r="7" s="71">
      <c r="D7" s="18" t="n"/>
      <c r="J7" s="15" t="n"/>
      <c r="K7" s="15" t="n"/>
      <c r="L7" s="16" t="n"/>
      <c r="R7" s="19" t="n">
        <v>300</v>
      </c>
      <c r="S7" s="15" t="n"/>
      <c r="T7" s="15" t="n"/>
      <c r="U7" s="16" t="n"/>
      <c r="X7" s="21" t="n"/>
      <c r="Y7" s="15" t="n"/>
      <c r="Z7" s="15" t="n"/>
      <c r="AA7" s="16" t="n"/>
      <c r="AD7" s="22" t="n"/>
      <c r="AE7" s="15" t="n"/>
      <c r="AF7" s="15" t="n"/>
      <c r="AG7" s="16" t="n"/>
      <c r="AH7" s="48" t="n"/>
      <c r="AI7" s="48" t="n"/>
      <c r="AJ7" s="23" t="n"/>
      <c r="AK7" s="15" t="n"/>
      <c r="AL7" s="15" t="n"/>
      <c r="AM7" s="16" t="n"/>
      <c r="AP7" s="23" t="n"/>
      <c r="AQ7" s="15" t="n"/>
      <c r="AR7" s="15" t="n"/>
      <c r="AS7" s="16" t="n"/>
    </row>
    <row r="8" ht="6.75" customHeight="1" s="71">
      <c r="A8" s="27" t="n"/>
      <c r="B8" s="27" t="n"/>
      <c r="C8" s="27" t="n"/>
      <c r="D8" s="27" t="n"/>
      <c r="E8" s="27" t="n"/>
      <c r="F8" s="27" t="n"/>
      <c r="G8" s="27" t="n"/>
      <c r="H8" s="35" t="n"/>
      <c r="I8" s="35" t="n"/>
      <c r="J8" s="36" t="n"/>
      <c r="K8" s="36" t="n"/>
      <c r="L8" s="36" t="n"/>
      <c r="M8" s="35" t="n"/>
      <c r="N8" s="30" t="n"/>
      <c r="O8" s="30" t="n"/>
      <c r="P8" s="30" t="n"/>
      <c r="Q8" s="30" t="n"/>
      <c r="R8" s="35" t="n"/>
      <c r="S8" s="35" t="n"/>
      <c r="T8" s="35" t="n"/>
      <c r="U8" s="35" t="n"/>
      <c r="V8" s="35" t="n"/>
      <c r="W8" s="35" t="n"/>
      <c r="X8" s="31" t="n"/>
      <c r="Y8" s="35" t="n"/>
      <c r="Z8" s="35" t="n"/>
      <c r="AA8" s="36" t="n"/>
      <c r="AB8" s="35" t="n"/>
      <c r="AC8" s="35" t="n"/>
      <c r="AD8" s="32" t="n"/>
      <c r="AE8" s="35" t="n"/>
      <c r="AF8" s="35" t="n"/>
      <c r="AG8" s="36" t="n"/>
      <c r="AH8" s="35" t="n"/>
      <c r="AI8" s="35" t="n"/>
      <c r="AJ8" s="34" t="n"/>
      <c r="AK8" s="35" t="n"/>
      <c r="AL8" s="35" t="n"/>
      <c r="AM8" s="36" t="n"/>
      <c r="AN8" s="35" t="n"/>
      <c r="AO8" s="35" t="n"/>
      <c r="AP8" s="34" t="n"/>
      <c r="AQ8" s="35" t="n"/>
      <c r="AR8" s="35" t="n"/>
      <c r="AS8" s="36" t="n"/>
      <c r="AT8" s="35" t="n"/>
      <c r="AU8" s="35" t="n"/>
    </row>
    <row r="9" ht="24" customHeight="1" s="71">
      <c r="A9" s="10">
        <f>IMAGE("https://ae-pic-a1.aliexpress-media.com/kf/Sddf296c4c78d43d7a1d84ca5614acb6fL.jpg")</f>
        <v/>
      </c>
      <c r="D9" s="18" t="inlineStr">
        <is>
          <t>Foldable Cane Easy To Carry Seat Portable Stool Folding Chair Non Slip…</t>
        </is>
      </c>
      <c r="E9" s="12" t="inlineStr">
        <is>
          <t>AliExpress: US $16.08. Vår räkning: landad ca 232 kr, tänkt butikspris 599 kr. Originaltitel: Foldable Cane Easy To Carry Seat Portable Stool Folding Chair Non Slip Handle Super Light Walking Stick For Outdoor Walking</t>
        </is>
      </c>
      <c r="H9" s="13" t="n"/>
      <c r="I9" s="14" t="inlineStr">
        <is>
          <t>SWEDEN</t>
        </is>
      </c>
      <c r="J9" s="15" t="n"/>
      <c r="K9" s="15" t="n"/>
      <c r="L9" s="16" t="n"/>
      <c r="M9" s="14" t="n"/>
      <c r="N9" s="17" t="inlineStr">
        <is>
          <t>https://www.aliexpress.com/item/1005011927514185.html</t>
        </is>
      </c>
      <c r="Q9" s="18" t="n"/>
      <c r="R9" s="19" t="n">
        <v>100</v>
      </c>
      <c r="S9" s="15" t="n"/>
      <c r="T9" s="15" t="n"/>
      <c r="U9" s="16" t="n"/>
      <c r="V9" s="48" t="n"/>
      <c r="W9" s="48" t="n"/>
      <c r="X9" s="21" t="n"/>
      <c r="Y9" s="15" t="n"/>
      <c r="Z9" s="15" t="n"/>
      <c r="AA9" s="16" t="n"/>
      <c r="AB9" s="48" t="n"/>
      <c r="AC9" s="48" t="n"/>
      <c r="AD9" s="22" t="n"/>
      <c r="AE9" s="15" t="n"/>
      <c r="AF9" s="15" t="n"/>
      <c r="AG9" s="16" t="n"/>
      <c r="AH9" s="48" t="n"/>
      <c r="AI9" s="48" t="n"/>
      <c r="AJ9" s="23" t="n"/>
      <c r="AK9" s="15" t="n"/>
      <c r="AL9" s="15" t="n"/>
      <c r="AM9" s="16" t="n"/>
      <c r="AN9" s="25" t="n"/>
      <c r="AO9" s="48" t="n"/>
      <c r="AP9" s="23" t="n"/>
      <c r="AQ9" s="15" t="n"/>
      <c r="AR9" s="15" t="n"/>
      <c r="AS9" s="16" t="n"/>
      <c r="AT9" s="25" t="n"/>
      <c r="AU9" s="26" t="n"/>
    </row>
    <row r="10" ht="25.5" customHeight="1" s="71">
      <c r="D10" s="18" t="n"/>
      <c r="J10" s="15" t="n"/>
      <c r="K10" s="15" t="n"/>
      <c r="L10" s="16" t="n"/>
      <c r="R10" s="19" t="n">
        <v>200</v>
      </c>
      <c r="S10" s="15" t="n"/>
      <c r="T10" s="15" t="n"/>
      <c r="U10" s="16" t="n"/>
      <c r="X10" s="21" t="n"/>
      <c r="Y10" s="15" t="n"/>
      <c r="Z10" s="15" t="n"/>
      <c r="AA10" s="16" t="n"/>
      <c r="AD10" s="22" t="n"/>
      <c r="AE10" s="15" t="n"/>
      <c r="AF10" s="15" t="n"/>
      <c r="AG10" s="16" t="n"/>
      <c r="AH10" s="48" t="n"/>
      <c r="AI10" s="48" t="n"/>
      <c r="AJ10" s="23" t="n"/>
      <c r="AK10" s="15" t="n"/>
      <c r="AL10" s="15" t="n"/>
      <c r="AM10" s="16" t="n"/>
      <c r="AP10" s="23" t="n"/>
      <c r="AQ10" s="15" t="n"/>
      <c r="AR10" s="15" t="n"/>
      <c r="AS10" s="16" t="n"/>
    </row>
    <row r="11" s="71">
      <c r="D11" s="18" t="n"/>
      <c r="J11" s="15" t="n"/>
      <c r="K11" s="15" t="n"/>
      <c r="L11" s="16" t="n"/>
      <c r="R11" s="19" t="n">
        <v>300</v>
      </c>
      <c r="S11" s="15" t="n"/>
      <c r="T11" s="15" t="n"/>
      <c r="U11" s="16" t="n"/>
      <c r="X11" s="21" t="n"/>
      <c r="Y11" s="15" t="n"/>
      <c r="Z11" s="15" t="n"/>
      <c r="AA11" s="16" t="n"/>
      <c r="AD11" s="22" t="n"/>
      <c r="AE11" s="15" t="n"/>
      <c r="AF11" s="15" t="n"/>
      <c r="AG11" s="16" t="n"/>
      <c r="AH11" s="48" t="n"/>
      <c r="AI11" s="48" t="n"/>
      <c r="AJ11" s="23" t="n"/>
      <c r="AK11" s="15" t="n"/>
      <c r="AL11" s="15" t="n"/>
      <c r="AM11" s="16" t="n"/>
      <c r="AP11" s="23" t="n"/>
      <c r="AQ11" s="15" t="n"/>
      <c r="AR11" s="15" t="n"/>
      <c r="AS11" s="16" t="n"/>
    </row>
    <row r="12" ht="6.75" customHeight="1" s="71">
      <c r="A12" s="27" t="n"/>
      <c r="B12" s="27" t="n"/>
      <c r="C12" s="27" t="n"/>
      <c r="D12" s="27" t="n"/>
      <c r="E12" s="27" t="n"/>
      <c r="F12" s="27" t="n"/>
      <c r="G12" s="27" t="n"/>
      <c r="H12" s="35" t="n"/>
      <c r="I12" s="35" t="n"/>
      <c r="J12" s="36" t="n"/>
      <c r="K12" s="36" t="n"/>
      <c r="L12" s="36" t="n"/>
      <c r="M12" s="35" t="n"/>
      <c r="N12" s="30" t="n"/>
      <c r="O12" s="30" t="n"/>
      <c r="P12" s="30" t="n"/>
      <c r="Q12" s="30" t="n"/>
      <c r="R12" s="35" t="n"/>
      <c r="S12" s="35" t="n"/>
      <c r="T12" s="35" t="n"/>
      <c r="U12" s="35" t="n"/>
      <c r="V12" s="35" t="n"/>
      <c r="W12" s="35" t="n"/>
      <c r="X12" s="31" t="n"/>
      <c r="Y12" s="35" t="n"/>
      <c r="Z12" s="35" t="n"/>
      <c r="AA12" s="36" t="n"/>
      <c r="AB12" s="35" t="n"/>
      <c r="AC12" s="35" t="n"/>
      <c r="AD12" s="32" t="n"/>
      <c r="AE12" s="35" t="n"/>
      <c r="AF12" s="35" t="n"/>
      <c r="AG12" s="36" t="n"/>
      <c r="AH12" s="35" t="n"/>
      <c r="AI12" s="35" t="n"/>
      <c r="AJ12" s="34" t="n"/>
      <c r="AK12" s="35" t="n"/>
      <c r="AL12" s="35" t="n"/>
      <c r="AM12" s="36" t="n"/>
      <c r="AN12" s="35" t="n"/>
      <c r="AO12" s="35" t="n"/>
      <c r="AP12" s="34" t="n"/>
      <c r="AQ12" s="35" t="n"/>
      <c r="AR12" s="35" t="n"/>
      <c r="AS12" s="36" t="n"/>
      <c r="AT12" s="35" t="n"/>
      <c r="AU12" s="35" t="n"/>
    </row>
    <row r="13" ht="24" customHeight="1" s="71">
      <c r="A13" s="10">
        <f>IMAGE("https://ae-pic-a1.aliexpress-media.com/kf/S20416daaf99f4237ab753083a39afac5H.jpg")</f>
        <v/>
      </c>
      <c r="D13" s="18" t="inlineStr">
        <is>
          <t>Winter Warm Waterproof Stray Cat Dog House Foldable Washable Pet Cave …</t>
        </is>
      </c>
      <c r="E13" s="12" t="inlineStr">
        <is>
          <t>AliExpress: US $21.66. Vår räkning: landad ca 312 kr, tänkt butikspris 799 kr. Originaltitel: Winter Warm Waterproof Stray Cat Dog House Foldable Washable Pet Cave Outdoor Shelter Sleeping Bed for Small Puppy Pet Supplies</t>
        </is>
      </c>
      <c r="H13" s="13" t="n"/>
      <c r="I13" s="14" t="inlineStr">
        <is>
          <t>SWEDEN</t>
        </is>
      </c>
      <c r="J13" s="15" t="n"/>
      <c r="K13" s="15" t="n"/>
      <c r="L13" s="16" t="n"/>
      <c r="M13" s="14" t="n"/>
      <c r="N13" s="17" t="inlineStr">
        <is>
          <t>https://www.aliexpress.com/item/1005012414077421.html</t>
        </is>
      </c>
      <c r="Q13" s="18" t="n"/>
      <c r="R13" s="19" t="n">
        <v>100</v>
      </c>
      <c r="S13" s="15" t="n"/>
      <c r="T13" s="15" t="n"/>
      <c r="U13" s="16" t="n"/>
      <c r="V13" s="48" t="n"/>
      <c r="W13" s="48" t="n"/>
      <c r="X13" s="21" t="n"/>
      <c r="Y13" s="15" t="n"/>
      <c r="Z13" s="15" t="n"/>
      <c r="AA13" s="16" t="n"/>
      <c r="AB13" s="48" t="n"/>
      <c r="AC13" s="48" t="n"/>
      <c r="AD13" s="22" t="n"/>
      <c r="AE13" s="15" t="n"/>
      <c r="AF13" s="15" t="n"/>
      <c r="AG13" s="16" t="n"/>
      <c r="AH13" s="48" t="n"/>
      <c r="AI13" s="48" t="n"/>
      <c r="AJ13" s="23" t="n"/>
      <c r="AK13" s="15" t="n"/>
      <c r="AL13" s="15" t="n"/>
      <c r="AM13" s="16" t="n"/>
      <c r="AN13" s="25" t="n"/>
      <c r="AO13" s="48" t="n"/>
      <c r="AP13" s="23" t="n"/>
      <c r="AQ13" s="15" t="n"/>
      <c r="AR13" s="15" t="n"/>
      <c r="AS13" s="16" t="n"/>
      <c r="AT13" s="25" t="n"/>
      <c r="AU13" s="26" t="n"/>
    </row>
    <row r="14" ht="25.5" customHeight="1" s="71">
      <c r="D14" s="18" t="n"/>
      <c r="J14" s="15" t="n"/>
      <c r="K14" s="15" t="n"/>
      <c r="L14" s="16" t="n"/>
      <c r="R14" s="19" t="n">
        <v>200</v>
      </c>
      <c r="S14" s="15" t="n"/>
      <c r="T14" s="15" t="n"/>
      <c r="U14" s="16" t="n"/>
      <c r="X14" s="21" t="n"/>
      <c r="Y14" s="15" t="n"/>
      <c r="Z14" s="15" t="n"/>
      <c r="AA14" s="16" t="n"/>
      <c r="AD14" s="22" t="n"/>
      <c r="AE14" s="15" t="n"/>
      <c r="AF14" s="15" t="n"/>
      <c r="AG14" s="16" t="n"/>
      <c r="AH14" s="48" t="n"/>
      <c r="AI14" s="48" t="n"/>
      <c r="AJ14" s="23" t="n"/>
      <c r="AK14" s="15" t="n"/>
      <c r="AL14" s="15" t="n"/>
      <c r="AM14" s="16" t="n"/>
      <c r="AP14" s="23" t="n"/>
      <c r="AQ14" s="15" t="n"/>
      <c r="AR14" s="15" t="n"/>
      <c r="AS14" s="16" t="n"/>
    </row>
    <row r="15" s="71">
      <c r="D15" s="18" t="n"/>
      <c r="J15" s="15" t="n"/>
      <c r="K15" s="15" t="n"/>
      <c r="L15" s="16" t="n"/>
      <c r="R15" s="19" t="n">
        <v>300</v>
      </c>
      <c r="S15" s="15" t="n"/>
      <c r="T15" s="15" t="n"/>
      <c r="U15" s="16" t="n"/>
      <c r="X15" s="21" t="n"/>
      <c r="Y15" s="15" t="n"/>
      <c r="Z15" s="15" t="n"/>
      <c r="AA15" s="16" t="n"/>
      <c r="AD15" s="22" t="n"/>
      <c r="AE15" s="15" t="n"/>
      <c r="AF15" s="15" t="n"/>
      <c r="AG15" s="16" t="n"/>
      <c r="AH15" s="48" t="n"/>
      <c r="AI15" s="48" t="n"/>
      <c r="AJ15" s="23" t="n"/>
      <c r="AK15" s="15" t="n"/>
      <c r="AL15" s="15" t="n"/>
      <c r="AM15" s="16" t="n"/>
      <c r="AP15" s="23" t="n"/>
      <c r="AQ15" s="15" t="n"/>
      <c r="AR15" s="15" t="n"/>
      <c r="AS15" s="16" t="n"/>
    </row>
    <row r="16" ht="6.75" customHeight="1" s="71">
      <c r="A16" s="27" t="n"/>
      <c r="B16" s="27" t="n"/>
      <c r="C16" s="27" t="n"/>
      <c r="D16" s="27" t="n"/>
      <c r="E16" s="27" t="n"/>
      <c r="F16" s="27" t="n"/>
      <c r="G16" s="27" t="n"/>
      <c r="H16" s="35" t="n"/>
      <c r="I16" s="35" t="n"/>
      <c r="J16" s="36" t="n"/>
      <c r="K16" s="36" t="n"/>
      <c r="L16" s="36" t="n"/>
      <c r="M16" s="35" t="n"/>
      <c r="N16" s="30" t="n"/>
      <c r="O16" s="30" t="n"/>
      <c r="P16" s="30" t="n"/>
      <c r="Q16" s="30" t="n"/>
      <c r="R16" s="35" t="n"/>
      <c r="S16" s="35" t="n"/>
      <c r="T16" s="35" t="n"/>
      <c r="U16" s="35" t="n"/>
      <c r="V16" s="35" t="n"/>
      <c r="W16" s="35" t="n"/>
      <c r="X16" s="31" t="n"/>
      <c r="Y16" s="35" t="n"/>
      <c r="Z16" s="35" t="n"/>
      <c r="AA16" s="36" t="n"/>
      <c r="AB16" s="35" t="n"/>
      <c r="AC16" s="35" t="n"/>
      <c r="AD16" s="32" t="n"/>
      <c r="AE16" s="35" t="n"/>
      <c r="AF16" s="35" t="n"/>
      <c r="AG16" s="36" t="n"/>
      <c r="AH16" s="35" t="n"/>
      <c r="AI16" s="35" t="n"/>
      <c r="AJ16" s="34" t="n"/>
      <c r="AK16" s="35" t="n"/>
      <c r="AL16" s="35" t="n"/>
      <c r="AM16" s="36" t="n"/>
      <c r="AN16" s="35" t="n"/>
      <c r="AO16" s="35" t="n"/>
      <c r="AP16" s="34" t="n"/>
      <c r="AQ16" s="35" t="n"/>
      <c r="AR16" s="35" t="n"/>
      <c r="AS16" s="36" t="n"/>
      <c r="AT16" s="35" t="n"/>
      <c r="AU16" s="35" t="n"/>
    </row>
    <row r="17" ht="24" customHeight="1" s="71">
      <c r="A17" s="10">
        <f>IMAGE("https://ae-pic-a1.aliexpress-media.com/kf/Sf82b0d4f34464eaca317489c4e31f25f8.jpg")</f>
        <v/>
      </c>
      <c r="D17" s="18" t="inlineStr">
        <is>
          <t>Professional Telescopic Boat Cover Support Pole Windproof Adjustable H…</t>
        </is>
      </c>
      <c r="E17" s="12" t="inlineStr">
        <is>
          <t>AliExpress: US $10.77. Vår räkning: landad ca 155 kr, tänkt butikspris 399 kr. Originaltitel: Professional Telescopic Boat Cover Support Pole Windproof Adjustable Height 22"-70" Heavy-Duty Steel/Aluminum for Pontoon Patio</t>
        </is>
      </c>
      <c r="H17" s="13" t="n"/>
      <c r="I17" s="14" t="inlineStr">
        <is>
          <t>SWEDEN</t>
        </is>
      </c>
      <c r="J17" s="15" t="n"/>
      <c r="K17" s="15" t="n"/>
      <c r="L17" s="16" t="n"/>
      <c r="M17" s="14" t="n"/>
      <c r="N17" s="17" t="inlineStr">
        <is>
          <t>https://www.aliexpress.com/item/1005009100129778.html</t>
        </is>
      </c>
      <c r="Q17" s="18" t="n"/>
      <c r="R17" s="19" t="n">
        <v>100</v>
      </c>
      <c r="S17" s="15" t="n"/>
      <c r="T17" s="15" t="n"/>
      <c r="U17" s="16" t="n"/>
      <c r="V17" s="48" t="n"/>
      <c r="W17" s="48" t="n"/>
      <c r="X17" s="21" t="n"/>
      <c r="Y17" s="15" t="n"/>
      <c r="Z17" s="15" t="n"/>
      <c r="AA17" s="16" t="n"/>
      <c r="AB17" s="48" t="n"/>
      <c r="AC17" s="48" t="n"/>
      <c r="AD17" s="22" t="n"/>
      <c r="AE17" s="15" t="n"/>
      <c r="AF17" s="15" t="n"/>
      <c r="AG17" s="16" t="n"/>
      <c r="AH17" s="48" t="n"/>
      <c r="AI17" s="48" t="n"/>
      <c r="AJ17" s="23" t="n"/>
      <c r="AK17" s="15" t="n"/>
      <c r="AL17" s="15" t="n"/>
      <c r="AM17" s="16" t="n"/>
      <c r="AN17" s="25" t="n"/>
      <c r="AO17" s="48" t="n"/>
      <c r="AP17" s="23" t="n"/>
      <c r="AQ17" s="15" t="n"/>
      <c r="AR17" s="15" t="n"/>
      <c r="AS17" s="16" t="n"/>
      <c r="AT17" s="25" t="n"/>
      <c r="AU17" s="26" t="n"/>
    </row>
    <row r="18" ht="25.5" customHeight="1" s="71">
      <c r="D18" s="18" t="n"/>
      <c r="J18" s="15" t="n"/>
      <c r="K18" s="15" t="n"/>
      <c r="L18" s="16" t="n"/>
      <c r="R18" s="19" t="n">
        <v>200</v>
      </c>
      <c r="S18" s="15" t="n"/>
      <c r="T18" s="15" t="n"/>
      <c r="U18" s="16" t="n"/>
      <c r="X18" s="21" t="n"/>
      <c r="Y18" s="15" t="n"/>
      <c r="Z18" s="15" t="n"/>
      <c r="AA18" s="16" t="n"/>
      <c r="AD18" s="22" t="n"/>
      <c r="AE18" s="15" t="n"/>
      <c r="AF18" s="15" t="n"/>
      <c r="AG18" s="16" t="n"/>
      <c r="AH18" s="48" t="n"/>
      <c r="AI18" s="48" t="n"/>
      <c r="AJ18" s="23" t="n"/>
      <c r="AK18" s="15" t="n"/>
      <c r="AL18" s="15" t="n"/>
      <c r="AM18" s="16" t="n"/>
      <c r="AP18" s="23" t="n"/>
      <c r="AQ18" s="15" t="n"/>
      <c r="AR18" s="15" t="n"/>
      <c r="AS18" s="16" t="n"/>
    </row>
    <row r="19" s="71">
      <c r="D19" s="18" t="n"/>
      <c r="J19" s="15" t="n"/>
      <c r="K19" s="15" t="n"/>
      <c r="L19" s="16" t="n"/>
      <c r="R19" s="19" t="n">
        <v>300</v>
      </c>
      <c r="S19" s="15" t="n"/>
      <c r="T19" s="15" t="n"/>
      <c r="U19" s="16" t="n"/>
      <c r="X19" s="21" t="n"/>
      <c r="Y19" s="15" t="n"/>
      <c r="Z19" s="15" t="n"/>
      <c r="AA19" s="16" t="n"/>
      <c r="AD19" s="22" t="n"/>
      <c r="AE19" s="15" t="n"/>
      <c r="AF19" s="15" t="n"/>
      <c r="AG19" s="16" t="n"/>
      <c r="AH19" s="48" t="n"/>
      <c r="AI19" s="48" t="n"/>
      <c r="AJ19" s="23" t="n"/>
      <c r="AK19" s="15" t="n"/>
      <c r="AL19" s="15" t="n"/>
      <c r="AM19" s="16" t="n"/>
      <c r="AP19" s="23" t="n"/>
      <c r="AQ19" s="15" t="n"/>
      <c r="AR19" s="15" t="n"/>
      <c r="AS19" s="16" t="n"/>
    </row>
    <row r="20" ht="6.75" customHeight="1" s="71">
      <c r="A20" s="27" t="n"/>
      <c r="B20" s="27" t="n"/>
      <c r="C20" s="27" t="n"/>
      <c r="D20" s="27" t="n"/>
      <c r="E20" s="27" t="n"/>
      <c r="F20" s="27" t="n"/>
      <c r="G20" s="27" t="n"/>
      <c r="H20" s="35" t="n"/>
      <c r="I20" s="35" t="n"/>
      <c r="J20" s="36" t="n"/>
      <c r="K20" s="36" t="n"/>
      <c r="L20" s="36" t="n"/>
      <c r="M20" s="35" t="n"/>
      <c r="N20" s="30" t="n"/>
      <c r="O20" s="30" t="n"/>
      <c r="P20" s="30" t="n"/>
      <c r="Q20" s="30" t="n"/>
      <c r="R20" s="35" t="n"/>
      <c r="S20" s="35" t="n"/>
      <c r="T20" s="35" t="n"/>
      <c r="U20" s="35" t="n"/>
      <c r="V20" s="35" t="n"/>
      <c r="W20" s="35" t="n"/>
      <c r="X20" s="31" t="n"/>
      <c r="Y20" s="35" t="n"/>
      <c r="Z20" s="35" t="n"/>
      <c r="AA20" s="36" t="n"/>
      <c r="AB20" s="35" t="n"/>
      <c r="AC20" s="35" t="n"/>
      <c r="AD20" s="32" t="n"/>
      <c r="AE20" s="35" t="n"/>
      <c r="AF20" s="35" t="n"/>
      <c r="AG20" s="36" t="n"/>
      <c r="AH20" s="35" t="n"/>
      <c r="AI20" s="35" t="n"/>
      <c r="AJ20" s="34" t="n"/>
      <c r="AK20" s="35" t="n"/>
      <c r="AL20" s="35" t="n"/>
      <c r="AM20" s="36" t="n"/>
      <c r="AN20" s="35" t="n"/>
      <c r="AO20" s="35" t="n"/>
      <c r="AP20" s="34" t="n"/>
      <c r="AQ20" s="35" t="n"/>
      <c r="AR20" s="35" t="n"/>
      <c r="AS20" s="36" t="n"/>
      <c r="AT20" s="35" t="n"/>
      <c r="AU20" s="35" t="n"/>
    </row>
    <row r="21" ht="24" customHeight="1" s="71">
      <c r="A21" s="10">
        <f>IMAGE("https://ae-pic-a1.aliexpress-media.com/kf/S1765e6b203364ba5b2b27145c16238989.jpg")</f>
        <v/>
      </c>
      <c r="D21" s="18" t="inlineStr">
        <is>
          <t>Outboard Motor Flusher Muffs Kit with 16mm Quick Connect Fitting, Adju…</t>
        </is>
      </c>
      <c r="E21" s="12" t="inlineStr">
        <is>
          <t>AliExpress: US $25.05. Vår räkning: landad ca 361 kr, tänkt butikspris 899 kr. Originaltitel: Outboard Motor Flusher Muffs Kit with 16mm Quick Connect Fitting, Adjustable Dual/Single Tube for Boat Motor Cleaning &amp; Test Run</t>
        </is>
      </c>
      <c r="H21" s="13" t="n"/>
      <c r="I21" s="14" t="inlineStr">
        <is>
          <t>SWEDEN</t>
        </is>
      </c>
      <c r="J21" s="15" t="n"/>
      <c r="K21" s="15" t="n"/>
      <c r="L21" s="16" t="n"/>
      <c r="M21" s="14" t="n"/>
      <c r="N21" s="17" t="inlineStr">
        <is>
          <t>https://www.aliexpress.com/item/1005011764722846.html</t>
        </is>
      </c>
      <c r="Q21" s="18" t="n"/>
      <c r="R21" s="19" t="n">
        <v>100</v>
      </c>
      <c r="S21" s="15" t="n"/>
      <c r="T21" s="15" t="n"/>
      <c r="U21" s="16" t="n"/>
      <c r="V21" s="48" t="n"/>
      <c r="W21" s="48" t="n"/>
      <c r="X21" s="21" t="n"/>
      <c r="Y21" s="15" t="n"/>
      <c r="Z21" s="15" t="n"/>
      <c r="AA21" s="16" t="n"/>
      <c r="AB21" s="48" t="n"/>
      <c r="AC21" s="48" t="n"/>
      <c r="AD21" s="22" t="n"/>
      <c r="AE21" s="15" t="n"/>
      <c r="AF21" s="15" t="n"/>
      <c r="AG21" s="16" t="n"/>
      <c r="AH21" s="48" t="n"/>
      <c r="AI21" s="48" t="n"/>
      <c r="AJ21" s="23" t="n"/>
      <c r="AK21" s="15" t="n"/>
      <c r="AL21" s="15" t="n"/>
      <c r="AM21" s="16" t="n"/>
      <c r="AN21" s="25" t="n"/>
      <c r="AO21" s="48" t="n"/>
      <c r="AP21" s="23" t="n"/>
      <c r="AQ21" s="15" t="n"/>
      <c r="AR21" s="15" t="n"/>
      <c r="AS21" s="16" t="n"/>
      <c r="AT21" s="25" t="n"/>
      <c r="AU21" s="26" t="n"/>
    </row>
    <row r="22" ht="25.5" customHeight="1" s="71">
      <c r="D22" s="18" t="n"/>
      <c r="J22" s="15" t="n"/>
      <c r="K22" s="15" t="n"/>
      <c r="L22" s="16" t="n"/>
      <c r="R22" s="19" t="n">
        <v>200</v>
      </c>
      <c r="S22" s="15" t="n"/>
      <c r="T22" s="15" t="n"/>
      <c r="U22" s="16" t="n"/>
      <c r="X22" s="21" t="n"/>
      <c r="Y22" s="15" t="n"/>
      <c r="Z22" s="15" t="n"/>
      <c r="AA22" s="16" t="n"/>
      <c r="AD22" s="22" t="n"/>
      <c r="AE22" s="15" t="n"/>
      <c r="AF22" s="15" t="n"/>
      <c r="AG22" s="16" t="n"/>
      <c r="AH22" s="48" t="n"/>
      <c r="AI22" s="48" t="n"/>
      <c r="AJ22" s="23" t="n"/>
      <c r="AK22" s="15" t="n"/>
      <c r="AL22" s="15" t="n"/>
      <c r="AM22" s="16" t="n"/>
      <c r="AP22" s="23" t="n"/>
      <c r="AQ22" s="15" t="n"/>
      <c r="AR22" s="15" t="n"/>
      <c r="AS22" s="16" t="n"/>
    </row>
    <row r="23" s="71">
      <c r="D23" s="18" t="n"/>
      <c r="J23" s="15" t="n"/>
      <c r="K23" s="15" t="n"/>
      <c r="L23" s="16" t="n"/>
      <c r="R23" s="19" t="n">
        <v>300</v>
      </c>
      <c r="S23" s="15" t="n"/>
      <c r="T23" s="15" t="n"/>
      <c r="U23" s="16" t="n"/>
      <c r="X23" s="21" t="n"/>
      <c r="Y23" s="15" t="n"/>
      <c r="Z23" s="15" t="n"/>
      <c r="AA23" s="16" t="n"/>
      <c r="AD23" s="22" t="n"/>
      <c r="AE23" s="15" t="n"/>
      <c r="AF23" s="15" t="n"/>
      <c r="AG23" s="16" t="n"/>
      <c r="AH23" s="48" t="n"/>
      <c r="AI23" s="48" t="n"/>
      <c r="AJ23" s="23" t="n"/>
      <c r="AK23" s="15" t="n"/>
      <c r="AL23" s="15" t="n"/>
      <c r="AM23" s="16" t="n"/>
      <c r="AP23" s="23" t="n"/>
      <c r="AQ23" s="15" t="n"/>
      <c r="AR23" s="15" t="n"/>
      <c r="AS23" s="16" t="n"/>
    </row>
    <row r="24" ht="6.75" customHeight="1" s="71">
      <c r="A24" s="27" t="n"/>
      <c r="B24" s="27" t="n"/>
      <c r="C24" s="27" t="n"/>
      <c r="D24" s="27" t="n"/>
      <c r="E24" s="27" t="n"/>
      <c r="F24" s="27" t="n"/>
      <c r="G24" s="27" t="n"/>
      <c r="H24" s="35" t="n"/>
      <c r="I24" s="35" t="n"/>
      <c r="J24" s="36" t="n"/>
      <c r="K24" s="36" t="n"/>
      <c r="L24" s="36" t="n"/>
      <c r="M24" s="35" t="n"/>
      <c r="N24" s="30" t="n"/>
      <c r="O24" s="30" t="n"/>
      <c r="P24" s="30" t="n"/>
      <c r="Q24" s="30" t="n"/>
      <c r="R24" s="35" t="n"/>
      <c r="S24" s="35" t="n"/>
      <c r="T24" s="35" t="n"/>
      <c r="U24" s="35" t="n"/>
      <c r="V24" s="35" t="n"/>
      <c r="W24" s="35" t="n"/>
      <c r="X24" s="31" t="n"/>
      <c r="Y24" s="35" t="n"/>
      <c r="Z24" s="35" t="n"/>
      <c r="AA24" s="36" t="n"/>
      <c r="AB24" s="35" t="n"/>
      <c r="AC24" s="35" t="n"/>
      <c r="AD24" s="32" t="n"/>
      <c r="AE24" s="35" t="n"/>
      <c r="AF24" s="35" t="n"/>
      <c r="AG24" s="36" t="n"/>
      <c r="AH24" s="35" t="n"/>
      <c r="AI24" s="35" t="n"/>
      <c r="AJ24" s="34" t="n"/>
      <c r="AK24" s="35" t="n"/>
      <c r="AL24" s="35" t="n"/>
      <c r="AM24" s="36" t="n"/>
      <c r="AN24" s="35" t="n"/>
      <c r="AO24" s="35" t="n"/>
      <c r="AP24" s="34" t="n"/>
      <c r="AQ24" s="35" t="n"/>
      <c r="AR24" s="35" t="n"/>
      <c r="AS24" s="36" t="n"/>
      <c r="AT24" s="35" t="n"/>
      <c r="AU24" s="35" t="n"/>
    </row>
    <row r="25" ht="24" customHeight="1" s="71">
      <c r="A25" s="10">
        <f>IMAGE("https://ae-pic-a1.aliexpress-media.com/kf/S4f5c23377f414f0c868c1af6496a8f73E.jpg")</f>
        <v/>
      </c>
      <c r="D25" s="18" t="inlineStr">
        <is>
          <t>Roof Ladder Stabilizer, Ladder Standoff, Extension Ladder Stabilizer, …</t>
        </is>
      </c>
      <c r="E25" s="12" t="inlineStr">
        <is>
          <t>AliExpress: US $27.55. Vår räkning: landad ca 397 kr, tänkt butikspris 999 kr. Originaltitel: Roof Ladder Stabilizer, Ladder Standoff, Extension Ladder Stabilizer, Wall Bracket, Heavy Duty Secure</t>
        </is>
      </c>
      <c r="H25" s="13" t="n"/>
      <c r="I25" s="14" t="inlineStr">
        <is>
          <t>SWEDEN</t>
        </is>
      </c>
      <c r="J25" s="15" t="n"/>
      <c r="K25" s="15" t="n"/>
      <c r="L25" s="16" t="n"/>
      <c r="M25" s="14" t="n"/>
      <c r="N25" s="17" t="inlineStr">
        <is>
          <t>https://www.aliexpress.com/item/1005012386302696.html</t>
        </is>
      </c>
      <c r="Q25" s="18" t="n"/>
      <c r="R25" s="19" t="n">
        <v>100</v>
      </c>
      <c r="S25" s="15" t="n"/>
      <c r="T25" s="15" t="n"/>
      <c r="U25" s="16" t="n"/>
      <c r="V25" s="48" t="n"/>
      <c r="W25" s="48" t="n"/>
      <c r="X25" s="21" t="n"/>
      <c r="Y25" s="15" t="n"/>
      <c r="Z25" s="15" t="n"/>
      <c r="AA25" s="16" t="n"/>
      <c r="AB25" s="48" t="n"/>
      <c r="AC25" s="48" t="n"/>
      <c r="AD25" s="22" t="n"/>
      <c r="AE25" s="15" t="n"/>
      <c r="AF25" s="15" t="n"/>
      <c r="AG25" s="16" t="n"/>
      <c r="AH25" s="48" t="n"/>
      <c r="AI25" s="48" t="n"/>
      <c r="AJ25" s="23" t="n"/>
      <c r="AK25" s="15" t="n"/>
      <c r="AL25" s="15" t="n"/>
      <c r="AM25" s="16" t="n"/>
      <c r="AN25" s="25" t="n"/>
      <c r="AO25" s="48" t="n"/>
      <c r="AP25" s="23" t="n"/>
      <c r="AQ25" s="15" t="n"/>
      <c r="AR25" s="15" t="n"/>
      <c r="AS25" s="16" t="n"/>
      <c r="AT25" s="25" t="n"/>
      <c r="AU25" s="26" t="n"/>
    </row>
    <row r="26" ht="25.5" customHeight="1" s="71">
      <c r="D26" s="18" t="n"/>
      <c r="J26" s="15" t="n"/>
      <c r="K26" s="15" t="n"/>
      <c r="L26" s="16" t="n"/>
      <c r="R26" s="19" t="n">
        <v>200</v>
      </c>
      <c r="S26" s="15" t="n"/>
      <c r="T26" s="15" t="n"/>
      <c r="U26" s="16" t="n"/>
      <c r="X26" s="21" t="n"/>
      <c r="Y26" s="15" t="n"/>
      <c r="Z26" s="15" t="n"/>
      <c r="AA26" s="16" t="n"/>
      <c r="AD26" s="22" t="n"/>
      <c r="AE26" s="15" t="n"/>
      <c r="AF26" s="15" t="n"/>
      <c r="AG26" s="16" t="n"/>
      <c r="AH26" s="48" t="n"/>
      <c r="AI26" s="48" t="n"/>
      <c r="AJ26" s="23" t="n"/>
      <c r="AK26" s="15" t="n"/>
      <c r="AL26" s="15" t="n"/>
      <c r="AM26" s="16" t="n"/>
      <c r="AP26" s="23" t="n"/>
      <c r="AQ26" s="15" t="n"/>
      <c r="AR26" s="15" t="n"/>
      <c r="AS26" s="16" t="n"/>
    </row>
    <row r="27" s="71">
      <c r="D27" s="18" t="n"/>
      <c r="J27" s="15" t="n"/>
      <c r="K27" s="15" t="n"/>
      <c r="L27" s="16" t="n"/>
      <c r="R27" s="19" t="n">
        <v>300</v>
      </c>
      <c r="S27" s="15" t="n"/>
      <c r="T27" s="15" t="n"/>
      <c r="U27" s="16" t="n"/>
      <c r="X27" s="21" t="n"/>
      <c r="Y27" s="15" t="n"/>
      <c r="Z27" s="15" t="n"/>
      <c r="AA27" s="16" t="n"/>
      <c r="AD27" s="22" t="n"/>
      <c r="AE27" s="15" t="n"/>
      <c r="AF27" s="15" t="n"/>
      <c r="AG27" s="16" t="n"/>
      <c r="AH27" s="48" t="n"/>
      <c r="AI27" s="48" t="n"/>
      <c r="AJ27" s="23" t="n"/>
      <c r="AK27" s="15" t="n"/>
      <c r="AL27" s="15" t="n"/>
      <c r="AM27" s="16" t="n"/>
      <c r="AP27" s="23" t="n"/>
      <c r="AQ27" s="15" t="n"/>
      <c r="AR27" s="15" t="n"/>
      <c r="AS27" s="16" t="n"/>
    </row>
    <row r="28" ht="6.75" customHeight="1" s="71">
      <c r="A28" s="27" t="n"/>
      <c r="B28" s="27" t="n"/>
      <c r="C28" s="27" t="n"/>
      <c r="D28" s="27" t="n"/>
      <c r="E28" s="27" t="n"/>
      <c r="F28" s="27" t="n"/>
      <c r="G28" s="27" t="n"/>
      <c r="H28" s="35" t="n"/>
      <c r="I28" s="35" t="n"/>
      <c r="J28" s="36" t="n"/>
      <c r="K28" s="36" t="n"/>
      <c r="L28" s="36" t="n"/>
      <c r="M28" s="35" t="n"/>
      <c r="N28" s="30" t="n"/>
      <c r="O28" s="30" t="n"/>
      <c r="P28" s="30" t="n"/>
      <c r="Q28" s="30" t="n"/>
      <c r="R28" s="35" t="n"/>
      <c r="S28" s="35" t="n"/>
      <c r="T28" s="35" t="n"/>
      <c r="U28" s="35" t="n"/>
      <c r="V28" s="35" t="n"/>
      <c r="W28" s="35" t="n"/>
      <c r="X28" s="31" t="n"/>
      <c r="Y28" s="35" t="n"/>
      <c r="Z28" s="35" t="n"/>
      <c r="AA28" s="36" t="n"/>
      <c r="AB28" s="35" t="n"/>
      <c r="AC28" s="35" t="n"/>
      <c r="AD28" s="32" t="n"/>
      <c r="AE28" s="35" t="n"/>
      <c r="AF28" s="35" t="n"/>
      <c r="AG28" s="36" t="n"/>
      <c r="AH28" s="35" t="n"/>
      <c r="AI28" s="35" t="n"/>
      <c r="AJ28" s="34" t="n"/>
      <c r="AK28" s="35" t="n"/>
      <c r="AL28" s="35" t="n"/>
      <c r="AM28" s="36" t="n"/>
      <c r="AN28" s="35" t="n"/>
      <c r="AO28" s="35" t="n"/>
      <c r="AP28" s="34" t="n"/>
      <c r="AQ28" s="35" t="n"/>
      <c r="AR28" s="35" t="n"/>
      <c r="AS28" s="36" t="n"/>
      <c r="AT28" s="35" t="n"/>
      <c r="AU28" s="35" t="n"/>
    </row>
    <row r="29" ht="24" customHeight="1" s="71">
      <c r="A29" s="10">
        <f>IMAGE("https://ae-pic-a1.aliexpress-media.com/kf/Sd45dbbc9fcb64ef4a78670e4fe959d40T.png")</f>
        <v/>
      </c>
      <c r="D29" s="18" t="inlineStr">
        <is>
          <t>Windshield Sunshade Front Motorhome Thermal Windscreen Screen Cover Fo…</t>
        </is>
      </c>
      <c r="E29" s="12" t="inlineStr">
        <is>
          <t>AliExpress: US $19.67. Vår räkning: landad ca 283 kr, tänkt butikspris 699 kr. Originaltitel: Windshield Sunshade Front Motorhome Thermal Windscreen Screen Cover For Fiat Ducato Peugeot Boxer Citroen Relay RV Cover</t>
        </is>
      </c>
      <c r="H29" s="13" t="n"/>
      <c r="I29" s="14" t="inlineStr">
        <is>
          <t>SWEDEN</t>
        </is>
      </c>
      <c r="J29" s="15" t="n"/>
      <c r="K29" s="15" t="n"/>
      <c r="L29" s="16" t="n"/>
      <c r="M29" s="14" t="n"/>
      <c r="N29" s="17" t="inlineStr">
        <is>
          <t>https://www.aliexpress.com/item/1005011618553986.html</t>
        </is>
      </c>
      <c r="Q29" s="18" t="n"/>
      <c r="R29" s="19" t="n">
        <v>100</v>
      </c>
      <c r="S29" s="15" t="n"/>
      <c r="T29" s="15" t="n"/>
      <c r="U29" s="16" t="n"/>
      <c r="V29" s="48" t="n"/>
      <c r="W29" s="48" t="n"/>
      <c r="X29" s="21" t="n"/>
      <c r="Y29" s="15" t="n"/>
      <c r="Z29" s="15" t="n"/>
      <c r="AA29" s="16" t="n"/>
      <c r="AB29" s="48" t="n"/>
      <c r="AC29" s="48" t="n"/>
      <c r="AD29" s="22" t="n"/>
      <c r="AE29" s="15" t="n"/>
      <c r="AF29" s="15" t="n"/>
      <c r="AG29" s="16" t="n"/>
      <c r="AH29" s="48" t="n"/>
      <c r="AI29" s="48" t="n"/>
      <c r="AJ29" s="23" t="n"/>
      <c r="AK29" s="15" t="n"/>
      <c r="AL29" s="15" t="n"/>
      <c r="AM29" s="16" t="n"/>
      <c r="AN29" s="25" t="n"/>
      <c r="AO29" s="48" t="n"/>
      <c r="AP29" s="23" t="n"/>
      <c r="AQ29" s="15" t="n"/>
      <c r="AR29" s="15" t="n"/>
      <c r="AS29" s="16" t="n"/>
      <c r="AT29" s="25" t="n"/>
      <c r="AU29" s="26" t="n"/>
    </row>
    <row r="30" ht="25.5" customHeight="1" s="71">
      <c r="D30" s="18" t="n"/>
      <c r="J30" s="15" t="n"/>
      <c r="K30" s="15" t="n"/>
      <c r="L30" s="16" t="n"/>
      <c r="R30" s="19" t="n">
        <v>200</v>
      </c>
      <c r="S30" s="15" t="n"/>
      <c r="T30" s="15" t="n"/>
      <c r="U30" s="16" t="n"/>
      <c r="X30" s="21" t="n"/>
      <c r="Y30" s="15" t="n"/>
      <c r="Z30" s="15" t="n"/>
      <c r="AA30" s="16" t="n"/>
      <c r="AD30" s="22" t="n"/>
      <c r="AE30" s="15" t="n"/>
      <c r="AF30" s="15" t="n"/>
      <c r="AG30" s="16" t="n"/>
      <c r="AH30" s="48" t="n"/>
      <c r="AI30" s="48" t="n"/>
      <c r="AJ30" s="23" t="n"/>
      <c r="AK30" s="15" t="n"/>
      <c r="AL30" s="15" t="n"/>
      <c r="AM30" s="16" t="n"/>
      <c r="AP30" s="23" t="n"/>
      <c r="AQ30" s="15" t="n"/>
      <c r="AR30" s="15" t="n"/>
      <c r="AS30" s="16" t="n"/>
    </row>
    <row r="31" s="71">
      <c r="D31" s="18" t="n"/>
      <c r="J31" s="15" t="n"/>
      <c r="K31" s="15" t="n"/>
      <c r="L31" s="16" t="n"/>
      <c r="R31" s="19" t="n">
        <v>300</v>
      </c>
      <c r="S31" s="15" t="n"/>
      <c r="T31" s="15" t="n"/>
      <c r="U31" s="16" t="n"/>
      <c r="X31" s="21" t="n"/>
      <c r="Y31" s="15" t="n"/>
      <c r="Z31" s="15" t="n"/>
      <c r="AA31" s="16" t="n"/>
      <c r="AD31" s="22" t="n"/>
      <c r="AE31" s="15" t="n"/>
      <c r="AF31" s="15" t="n"/>
      <c r="AG31" s="16" t="n"/>
      <c r="AH31" s="48" t="n"/>
      <c r="AI31" s="48" t="n"/>
      <c r="AJ31" s="23" t="n"/>
      <c r="AK31" s="15" t="n"/>
      <c r="AL31" s="15" t="n"/>
      <c r="AM31" s="16" t="n"/>
      <c r="AP31" s="23" t="n"/>
      <c r="AQ31" s="15" t="n"/>
      <c r="AR31" s="15" t="n"/>
      <c r="AS31" s="16" t="n"/>
    </row>
    <row r="32" ht="6.75" customHeight="1" s="71">
      <c r="A32" s="27" t="n"/>
      <c r="B32" s="27" t="n"/>
      <c r="C32" s="27" t="n"/>
      <c r="D32" s="27" t="n"/>
      <c r="E32" s="27" t="n"/>
      <c r="F32" s="27" t="n"/>
      <c r="G32" s="27" t="n"/>
      <c r="H32" s="35" t="n"/>
      <c r="I32" s="35" t="n"/>
      <c r="J32" s="36" t="n"/>
      <c r="K32" s="36" t="n"/>
      <c r="L32" s="36" t="n"/>
      <c r="M32" s="35" t="n"/>
      <c r="N32" s="30" t="n"/>
      <c r="O32" s="30" t="n"/>
      <c r="P32" s="30" t="n"/>
      <c r="Q32" s="30" t="n"/>
      <c r="R32" s="35" t="n"/>
      <c r="S32" s="35" t="n"/>
      <c r="T32" s="35" t="n"/>
      <c r="U32" s="35" t="n"/>
      <c r="V32" s="35" t="n"/>
      <c r="W32" s="35" t="n"/>
      <c r="X32" s="31" t="n"/>
      <c r="Y32" s="35" t="n"/>
      <c r="Z32" s="35" t="n"/>
      <c r="AA32" s="36" t="n"/>
      <c r="AB32" s="35" t="n"/>
      <c r="AC32" s="35" t="n"/>
      <c r="AD32" s="32" t="n"/>
      <c r="AE32" s="35" t="n"/>
      <c r="AF32" s="35" t="n"/>
      <c r="AG32" s="36" t="n"/>
      <c r="AH32" s="35" t="n"/>
      <c r="AI32" s="35" t="n"/>
      <c r="AJ32" s="34" t="n"/>
      <c r="AK32" s="35" t="n"/>
      <c r="AL32" s="35" t="n"/>
      <c r="AM32" s="36" t="n"/>
      <c r="AN32" s="35" t="n"/>
      <c r="AO32" s="35" t="n"/>
      <c r="AP32" s="34" t="n"/>
      <c r="AQ32" s="35" t="n"/>
      <c r="AR32" s="35" t="n"/>
      <c r="AS32" s="36" t="n"/>
      <c r="AT32" s="35" t="n"/>
      <c r="AU32" s="35" t="n"/>
    </row>
    <row r="33" ht="24" customHeight="1" s="71">
      <c r="A33" s="10">
        <f>IMAGE("https://ae-pic-a1.aliexpress-media.com/kf/Sc87ec94ba4b94ae1b0f39ca26cfcad8dT.png")</f>
        <v/>
      </c>
      <c r="D33" s="18" t="inlineStr">
        <is>
          <t>Solar Alarm IP65 Waterproof PIR Motion Detection Alarm with Siren and …</t>
        </is>
      </c>
      <c r="E33" s="12" t="inlineStr">
        <is>
          <t>AliExpress: US $23.07. Vår räkning: landad ca 332 kr, tänkt butikspris 799 kr. Originaltitel: Solar Alarm IP65 Waterproof PIR Motion Detection Alarm with Siren and Strobe Light For Home Security Alarm System</t>
        </is>
      </c>
      <c r="H33" s="13" t="n"/>
      <c r="I33" s="14" t="inlineStr">
        <is>
          <t>SWEDEN</t>
        </is>
      </c>
      <c r="J33" s="15" t="n"/>
      <c r="K33" s="15" t="n"/>
      <c r="L33" s="16" t="n"/>
      <c r="M33" s="14" t="n"/>
      <c r="N33" s="17" t="inlineStr">
        <is>
          <t>https://www.aliexpress.com/item/1005012241693262.html</t>
        </is>
      </c>
      <c r="Q33" s="18" t="n"/>
      <c r="R33" s="19" t="n">
        <v>100</v>
      </c>
      <c r="S33" s="15" t="n"/>
      <c r="T33" s="15" t="n"/>
      <c r="U33" s="16" t="n"/>
      <c r="V33" s="48" t="n"/>
      <c r="W33" s="48" t="n"/>
      <c r="X33" s="21" t="n"/>
      <c r="Y33" s="15" t="n"/>
      <c r="Z33" s="15" t="n"/>
      <c r="AA33" s="16" t="n"/>
      <c r="AB33" s="48" t="n"/>
      <c r="AC33" s="48" t="n"/>
      <c r="AD33" s="22" t="n"/>
      <c r="AE33" s="15" t="n"/>
      <c r="AF33" s="15" t="n"/>
      <c r="AG33" s="16" t="n"/>
      <c r="AH33" s="48" t="n"/>
      <c r="AI33" s="48" t="n"/>
      <c r="AJ33" s="23" t="n"/>
      <c r="AK33" s="15" t="n"/>
      <c r="AL33" s="15" t="n"/>
      <c r="AM33" s="16" t="n"/>
      <c r="AN33" s="25" t="n"/>
      <c r="AO33" s="48" t="n"/>
      <c r="AP33" s="23" t="n"/>
      <c r="AQ33" s="15" t="n"/>
      <c r="AR33" s="15" t="n"/>
      <c r="AS33" s="16" t="n"/>
      <c r="AT33" s="25" t="n"/>
      <c r="AU33" s="26" t="n"/>
    </row>
    <row r="34" ht="25.5" customHeight="1" s="71">
      <c r="D34" s="18" t="n"/>
      <c r="J34" s="15" t="n"/>
      <c r="K34" s="15" t="n"/>
      <c r="L34" s="16" t="n"/>
      <c r="R34" s="19" t="n">
        <v>200</v>
      </c>
      <c r="S34" s="15" t="n"/>
      <c r="T34" s="15" t="n"/>
      <c r="U34" s="16" t="n"/>
      <c r="X34" s="21" t="n"/>
      <c r="Y34" s="15" t="n"/>
      <c r="Z34" s="15" t="n"/>
      <c r="AA34" s="16" t="n"/>
      <c r="AD34" s="22" t="n"/>
      <c r="AE34" s="15" t="n"/>
      <c r="AF34" s="15" t="n"/>
      <c r="AG34" s="16" t="n"/>
      <c r="AH34" s="48" t="n"/>
      <c r="AI34" s="48" t="n"/>
      <c r="AJ34" s="23" t="n"/>
      <c r="AK34" s="15" t="n"/>
      <c r="AL34" s="15" t="n"/>
      <c r="AM34" s="16" t="n"/>
      <c r="AP34" s="23" t="n"/>
      <c r="AQ34" s="15" t="n"/>
      <c r="AR34" s="15" t="n"/>
      <c r="AS34" s="16" t="n"/>
    </row>
    <row r="35" s="71">
      <c r="D35" s="18" t="n"/>
      <c r="J35" s="15" t="n"/>
      <c r="K35" s="15" t="n"/>
      <c r="L35" s="16" t="n"/>
      <c r="R35" s="19" t="n">
        <v>300</v>
      </c>
      <c r="S35" s="15" t="n"/>
      <c r="T35" s="15" t="n"/>
      <c r="U35" s="16" t="n"/>
      <c r="X35" s="21" t="n"/>
      <c r="Y35" s="15" t="n"/>
      <c r="Z35" s="15" t="n"/>
      <c r="AA35" s="16" t="n"/>
      <c r="AD35" s="22" t="n"/>
      <c r="AE35" s="15" t="n"/>
      <c r="AF35" s="15" t="n"/>
      <c r="AG35" s="16" t="n"/>
      <c r="AH35" s="48" t="n"/>
      <c r="AI35" s="48" t="n"/>
      <c r="AJ35" s="23" t="n"/>
      <c r="AK35" s="15" t="n"/>
      <c r="AL35" s="15" t="n"/>
      <c r="AM35" s="16" t="n"/>
      <c r="AP35" s="23" t="n"/>
      <c r="AQ35" s="15" t="n"/>
      <c r="AR35" s="15" t="n"/>
      <c r="AS35" s="16" t="n"/>
    </row>
    <row r="36" ht="6.75" customHeight="1" s="71">
      <c r="A36" s="27" t="n"/>
      <c r="B36" s="27" t="n"/>
      <c r="C36" s="27" t="n"/>
      <c r="D36" s="27" t="n"/>
      <c r="E36" s="27" t="n"/>
      <c r="F36" s="27" t="n"/>
      <c r="G36" s="27" t="n"/>
      <c r="H36" s="35" t="n"/>
      <c r="I36" s="35" t="n"/>
      <c r="J36" s="36" t="n"/>
      <c r="K36" s="36" t="n"/>
      <c r="L36" s="36" t="n"/>
      <c r="M36" s="35" t="n"/>
      <c r="N36" s="30" t="n"/>
      <c r="O36" s="30" t="n"/>
      <c r="P36" s="30" t="n"/>
      <c r="Q36" s="30" t="n"/>
      <c r="R36" s="35" t="n"/>
      <c r="S36" s="35" t="n"/>
      <c r="T36" s="35" t="n"/>
      <c r="U36" s="35" t="n"/>
      <c r="V36" s="35" t="n"/>
      <c r="W36" s="35" t="n"/>
      <c r="X36" s="31" t="n"/>
      <c r="Y36" s="35" t="n"/>
      <c r="Z36" s="35" t="n"/>
      <c r="AA36" s="36" t="n"/>
      <c r="AB36" s="35" t="n"/>
      <c r="AC36" s="35" t="n"/>
      <c r="AD36" s="32" t="n"/>
      <c r="AE36" s="35" t="n"/>
      <c r="AF36" s="35" t="n"/>
      <c r="AG36" s="36" t="n"/>
      <c r="AH36" s="35" t="n"/>
      <c r="AI36" s="35" t="n"/>
      <c r="AJ36" s="34" t="n"/>
      <c r="AK36" s="35" t="n"/>
      <c r="AL36" s="35" t="n"/>
      <c r="AM36" s="36" t="n"/>
      <c r="AN36" s="35" t="n"/>
      <c r="AO36" s="35" t="n"/>
      <c r="AP36" s="34" t="n"/>
      <c r="AQ36" s="35" t="n"/>
      <c r="AR36" s="35" t="n"/>
      <c r="AS36" s="36" t="n"/>
      <c r="AT36" s="35" t="n"/>
      <c r="AU36" s="35" t="n"/>
    </row>
    <row r="37" ht="15.75" customHeight="1" s="71"/>
    <row r="38" ht="15.75" customHeight="1" s="71"/>
    <row r="39" ht="15.75" customHeight="1" s="71"/>
    <row r="40" ht="15.75" customHeight="1" s="71"/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73">
    <mergeCell ref="I5:I7"/>
    <mergeCell ref="E5:G7"/>
    <mergeCell ref="Q9:Q11"/>
    <mergeCell ref="H17:H19"/>
    <mergeCell ref="I17:I19"/>
    <mergeCell ref="M21:M23"/>
    <mergeCell ref="L3:L4"/>
    <mergeCell ref="E13:G15"/>
    <mergeCell ref="X3:AC3"/>
    <mergeCell ref="M33:M35"/>
    <mergeCell ref="N21:P23"/>
    <mergeCell ref="I29:I31"/>
    <mergeCell ref="N5:P7"/>
    <mergeCell ref="H13:H15"/>
    <mergeCell ref="E3:G4"/>
    <mergeCell ref="A25:C27"/>
    <mergeCell ref="AJ3:AO3"/>
    <mergeCell ref="N33:P35"/>
    <mergeCell ref="M17:M19"/>
    <mergeCell ref="I13:I15"/>
    <mergeCell ref="Q17:Q19"/>
    <mergeCell ref="E9:G11"/>
    <mergeCell ref="R3:W3"/>
    <mergeCell ref="A21:C23"/>
    <mergeCell ref="M29:M31"/>
    <mergeCell ref="A1:AO1"/>
    <mergeCell ref="M3:M4"/>
    <mergeCell ref="I3:I4"/>
    <mergeCell ref="Q13:Q15"/>
    <mergeCell ref="N13:P15"/>
    <mergeCell ref="N17:P19"/>
    <mergeCell ref="Q25:Q27"/>
    <mergeCell ref="A17:C19"/>
    <mergeCell ref="H33:H35"/>
    <mergeCell ref="H5:H7"/>
    <mergeCell ref="N29:P31"/>
    <mergeCell ref="I9:I11"/>
    <mergeCell ref="A33:C35"/>
    <mergeCell ref="A29:C31"/>
    <mergeCell ref="A5:C7"/>
    <mergeCell ref="N3:P4"/>
    <mergeCell ref="M9:M11"/>
    <mergeCell ref="M5:M7"/>
    <mergeCell ref="H29:H31"/>
    <mergeCell ref="A13:C15"/>
    <mergeCell ref="Q21:Q23"/>
    <mergeCell ref="H25:H27"/>
    <mergeCell ref="H3:H4"/>
    <mergeCell ref="N9:P11"/>
    <mergeCell ref="J3:J4"/>
    <mergeCell ref="Q33:Q35"/>
    <mergeCell ref="A3:C4"/>
    <mergeCell ref="AD3:AI3"/>
    <mergeCell ref="E25:G27"/>
    <mergeCell ref="E21:G23"/>
    <mergeCell ref="Q5:Q7"/>
    <mergeCell ref="AP3:AU3"/>
    <mergeCell ref="H9:H11"/>
    <mergeCell ref="A2:AO2"/>
    <mergeCell ref="E33:G35"/>
    <mergeCell ref="K3:K4"/>
    <mergeCell ref="A9:C11"/>
    <mergeCell ref="H21:H23"/>
    <mergeCell ref="I25:I27"/>
    <mergeCell ref="M25:M27"/>
    <mergeCell ref="Q3:Q4"/>
    <mergeCell ref="Q29:Q31"/>
    <mergeCell ref="I21:I23"/>
    <mergeCell ref="E17:G19"/>
    <mergeCell ref="N25:P27"/>
    <mergeCell ref="I33:I35"/>
    <mergeCell ref="M13:M15"/>
    <mergeCell ref="E29:G31"/>
  </mergeCells>
  <hyperlinks>
    <hyperlink xmlns:r="http://schemas.openxmlformats.org/officeDocument/2006/relationships" ref="N21" r:id="rId1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2026-09-09T05:37:00Z</dcterms:created>
  <dcterms:modified xsi:type="dcterms:W3CDTF">2026-09-09T11:56:06Z</dcterms:modified>
</cp:coreProperties>
</file>