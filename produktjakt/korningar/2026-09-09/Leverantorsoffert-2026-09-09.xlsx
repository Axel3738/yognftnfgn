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emu.com/nz/1pc-durable-waterproof-chicken-coop-tarp-cover-with-elastic-bungee-cords-and-rope-tear-resistant-poultry-cage-cover-for-winter--for-large-walk-in--pen-g-60109975617077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44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10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IMAGE("https://ae-pic-a1.aliexpress-media.com/kf/Sf82b0d4f34464eaca317489c4e31f25f8.jpg")</f>
        <v/>
      </c>
      <c r="D5" s="18" t="inlineStr">
        <is>
          <t>Professional Telescopic Boat Cover Support Pole Windproof Adjustable H…</t>
        </is>
      </c>
      <c r="E5" s="12" t="inlineStr">
        <is>
          <t>AliExpress: US $10.77. Vår räkning: landad ca 155 kr, tänkt butikspris 399 kr. Originaltitel: Professional Telescopic Boat Cover Support Pole Windproof Adjustable Height 22"-70" Heavy-Duty Steel/Aluminum for Pontoon Patio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https://www.aliexpress.com/item/1005009100129778.html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IMAGE("https://ae-pic-a1.aliexpress-media.com/kf/S4244c19ccbb7400787c5f68f47dda6f9q.jpg")</f>
        <v/>
      </c>
      <c r="D9" s="18" t="inlineStr">
        <is>
          <t>Solar Powered Marine Signal Lights LED Navigation Warning Lamps Waterp…</t>
        </is>
      </c>
      <c r="E9" s="12" t="inlineStr">
        <is>
          <t>AliExpress: US $11.00. Vår räkning: landad ca 158 kr, tänkt butikspris 399 kr. Originaltitel: Solar Powered Marine Signal Lights LED Navigation Warning Lamps Waterproof Boat Marker Beacons For Yacht Fishing Vessel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https://www.aliexpress.com/item/1005011767102250.html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4" customHeight="1" s="71">
      <c r="A13" s="10">
        <f>IMAGE("https://ae-pic-a1.aliexpress-media.com/kf/Sd45dbbc9fcb64ef4a78670e4fe959d40T.png")</f>
        <v/>
      </c>
      <c r="D13" s="18" t="inlineStr">
        <is>
          <t>Windshield Sunshade Front Motorhome Thermal Windscreen Screen Cover Fo…</t>
        </is>
      </c>
      <c r="E13" s="12" t="inlineStr">
        <is>
          <t>AliExpress: US $19.67. Vår räkning: landad ca 283 kr, tänkt butikspris 699 kr. Originaltitel: Windshield Sunshade Front Motorhome Thermal Windscreen Screen Cover For Fiat Ducato Peugeot Boxer Citroen Relay RV Cover</t>
        </is>
      </c>
      <c r="H13" s="13" t="n"/>
      <c r="I13" s="14" t="inlineStr">
        <is>
          <t>SWEDEN</t>
        </is>
      </c>
      <c r="J13" s="15" t="n"/>
      <c r="K13" s="15" t="n"/>
      <c r="L13" s="16" t="n"/>
      <c r="M13" s="14" t="n"/>
      <c r="N13" s="17" t="inlineStr">
        <is>
          <t>https://www.aliexpress.com/item/1005011618553986.html</t>
        </is>
      </c>
      <c r="Q13" s="18" t="n"/>
      <c r="R13" s="19" t="n">
        <v>100</v>
      </c>
      <c r="S13" s="15" t="n"/>
      <c r="T13" s="15" t="n"/>
      <c r="U13" s="16" t="n"/>
      <c r="V13" s="48" t="n"/>
      <c r="W13" s="48" t="n"/>
      <c r="X13" s="21" t="n"/>
      <c r="Y13" s="15" t="n"/>
      <c r="Z13" s="15" t="n"/>
      <c r="AA13" s="16" t="n"/>
      <c r="AB13" s="48" t="n"/>
      <c r="AC13" s="48" t="n"/>
      <c r="AD13" s="22" t="n"/>
      <c r="AE13" s="15" t="n"/>
      <c r="AF13" s="15" t="n"/>
      <c r="AG13" s="16" t="n"/>
      <c r="AH13" s="48" t="n"/>
      <c r="AI13" s="48" t="n"/>
      <c r="AJ13" s="23" t="n"/>
      <c r="AK13" s="15" t="n"/>
      <c r="AL13" s="15" t="n"/>
      <c r="AM13" s="16" t="n"/>
      <c r="AN13" s="25" t="n"/>
      <c r="AO13" s="48" t="n"/>
      <c r="AP13" s="23" t="n"/>
      <c r="AQ13" s="15" t="n"/>
      <c r="AR13" s="15" t="n"/>
      <c r="AS13" s="16" t="n"/>
      <c r="AT13" s="25" t="n"/>
      <c r="AU13" s="26" t="n"/>
    </row>
    <row r="14" ht="25.5" customHeight="1" s="71">
      <c r="D14" s="18" t="n"/>
      <c r="J14" s="15" t="n"/>
      <c r="K14" s="15" t="n"/>
      <c r="L14" s="16" t="n"/>
      <c r="R14" s="19" t="n">
        <v>200</v>
      </c>
      <c r="S14" s="15" t="n"/>
      <c r="T14" s="15" t="n"/>
      <c r="U14" s="16" t="n"/>
      <c r="X14" s="21" t="n"/>
      <c r="Y14" s="15" t="n"/>
      <c r="Z14" s="15" t="n"/>
      <c r="AA14" s="16" t="n"/>
      <c r="AD14" s="22" t="n"/>
      <c r="AE14" s="15" t="n"/>
      <c r="AF14" s="15" t="n"/>
      <c r="AG14" s="16" t="n"/>
      <c r="AH14" s="48" t="n"/>
      <c r="AI14" s="48" t="n"/>
      <c r="AJ14" s="23" t="n"/>
      <c r="AK14" s="15" t="n"/>
      <c r="AL14" s="15" t="n"/>
      <c r="AM14" s="16" t="n"/>
      <c r="AP14" s="23" t="n"/>
      <c r="AQ14" s="15" t="n"/>
      <c r="AR14" s="15" t="n"/>
      <c r="AS14" s="16" t="n"/>
    </row>
    <row r="15" s="71">
      <c r="D15" s="18" t="n"/>
      <c r="J15" s="15" t="n"/>
      <c r="K15" s="15" t="n"/>
      <c r="L15" s="16" t="n"/>
      <c r="R15" s="19" t="n">
        <v>300</v>
      </c>
      <c r="S15" s="15" t="n"/>
      <c r="T15" s="15" t="n"/>
      <c r="U15" s="16" t="n"/>
      <c r="X15" s="21" t="n"/>
      <c r="Y15" s="15" t="n"/>
      <c r="Z15" s="15" t="n"/>
      <c r="AA15" s="16" t="n"/>
      <c r="AD15" s="22" t="n"/>
      <c r="AE15" s="15" t="n"/>
      <c r="AF15" s="15" t="n"/>
      <c r="AG15" s="16" t="n"/>
      <c r="AH15" s="48" t="n"/>
      <c r="AI15" s="48" t="n"/>
      <c r="AJ15" s="23" t="n"/>
      <c r="AK15" s="15" t="n"/>
      <c r="AL15" s="15" t="n"/>
      <c r="AM15" s="16" t="n"/>
      <c r="AP15" s="23" t="n"/>
      <c r="AQ15" s="15" t="n"/>
      <c r="AR15" s="15" t="n"/>
      <c r="AS15" s="16" t="n"/>
    </row>
    <row r="16" ht="6.75" customHeight="1" s="71">
      <c r="A16" s="27" t="n"/>
      <c r="B16" s="27" t="n"/>
      <c r="C16" s="27" t="n"/>
      <c r="D16" s="27" t="n"/>
      <c r="E16" s="27" t="n"/>
      <c r="F16" s="27" t="n"/>
      <c r="G16" s="27" t="n"/>
      <c r="H16" s="35" t="n"/>
      <c r="I16" s="35" t="n"/>
      <c r="J16" s="36" t="n"/>
      <c r="K16" s="36" t="n"/>
      <c r="L16" s="36" t="n"/>
      <c r="M16" s="35" t="n"/>
      <c r="N16" s="30" t="n"/>
      <c r="O16" s="30" t="n"/>
      <c r="P16" s="30" t="n"/>
      <c r="Q16" s="30" t="n"/>
      <c r="R16" s="35" t="n"/>
      <c r="S16" s="35" t="n"/>
      <c r="T16" s="35" t="n"/>
      <c r="U16" s="35" t="n"/>
      <c r="V16" s="35" t="n"/>
      <c r="W16" s="35" t="n"/>
      <c r="X16" s="31" t="n"/>
      <c r="Y16" s="35" t="n"/>
      <c r="Z16" s="35" t="n"/>
      <c r="AA16" s="36" t="n"/>
      <c r="AB16" s="35" t="n"/>
      <c r="AC16" s="35" t="n"/>
      <c r="AD16" s="32" t="n"/>
      <c r="AE16" s="35" t="n"/>
      <c r="AF16" s="35" t="n"/>
      <c r="AG16" s="36" t="n"/>
      <c r="AH16" s="35" t="n"/>
      <c r="AI16" s="35" t="n"/>
      <c r="AJ16" s="34" t="n"/>
      <c r="AK16" s="35" t="n"/>
      <c r="AL16" s="35" t="n"/>
      <c r="AM16" s="36" t="n"/>
      <c r="AN16" s="35" t="n"/>
      <c r="AO16" s="35" t="n"/>
      <c r="AP16" s="34" t="n"/>
      <c r="AQ16" s="35" t="n"/>
      <c r="AR16" s="35" t="n"/>
      <c r="AS16" s="36" t="n"/>
      <c r="AT16" s="35" t="n"/>
      <c r="AU16" s="35" t="n"/>
    </row>
    <row r="17" ht="24" customHeight="1" s="71">
      <c r="A17" s="10">
        <f>IMAGE("https://ae-pic-a1.aliexpress-media.com/kf/S4d8623aa49aa4b18bfe95b3f674c7ba8T.jpg")</f>
        <v/>
      </c>
      <c r="D17" s="18" t="inlineStr">
        <is>
          <t>JVEE 30W 1000mAh Solar Flood Lights Remote Control Powered Spotlight O…</t>
        </is>
      </c>
      <c r="E17" s="12" t="inlineStr">
        <is>
          <t>AliExpress: US $11.33. Vår räkning: landad ca 163 kr, tänkt butikspris 399 kr. Originaltitel: JVEE 30W 1000mAh Solar Flood Lights Remote Control Powered Spotlight Outdoor Waterproof IP67 Villa Street Lamp Adjustable Angle</t>
        </is>
      </c>
      <c r="H17" s="13" t="n"/>
      <c r="I17" s="14" t="inlineStr">
        <is>
          <t>SWEDEN</t>
        </is>
      </c>
      <c r="J17" s="15" t="n"/>
      <c r="K17" s="15" t="n"/>
      <c r="L17" s="16" t="n"/>
      <c r="M17" s="14" t="n"/>
      <c r="N17" s="17" t="inlineStr">
        <is>
          <t>https://www.aliexpress.com/item/1005007487622885.html</t>
        </is>
      </c>
      <c r="Q17" s="18" t="n"/>
      <c r="R17" s="19" t="n">
        <v>100</v>
      </c>
      <c r="S17" s="15" t="n"/>
      <c r="T17" s="15" t="n"/>
      <c r="U17" s="16" t="n"/>
      <c r="V17" s="48" t="n"/>
      <c r="W17" s="48" t="n"/>
      <c r="X17" s="21" t="n"/>
      <c r="Y17" s="15" t="n"/>
      <c r="Z17" s="15" t="n"/>
      <c r="AA17" s="16" t="n"/>
      <c r="AB17" s="48" t="n"/>
      <c r="AC17" s="48" t="n"/>
      <c r="AD17" s="22" t="n"/>
      <c r="AE17" s="15" t="n"/>
      <c r="AF17" s="15" t="n"/>
      <c r="AG17" s="16" t="n"/>
      <c r="AH17" s="48" t="n"/>
      <c r="AI17" s="48" t="n"/>
      <c r="AJ17" s="23" t="n"/>
      <c r="AK17" s="15" t="n"/>
      <c r="AL17" s="15" t="n"/>
      <c r="AM17" s="16" t="n"/>
      <c r="AN17" s="25" t="n"/>
      <c r="AO17" s="48" t="n"/>
      <c r="AP17" s="23" t="n"/>
      <c r="AQ17" s="15" t="n"/>
      <c r="AR17" s="15" t="n"/>
      <c r="AS17" s="16" t="n"/>
      <c r="AT17" s="25" t="n"/>
      <c r="AU17" s="26" t="n"/>
    </row>
    <row r="18" ht="25.5" customHeight="1" s="71">
      <c r="D18" s="18" t="n"/>
      <c r="J18" s="15" t="n"/>
      <c r="K18" s="15" t="n"/>
      <c r="L18" s="16" t="n"/>
      <c r="R18" s="19" t="n">
        <v>200</v>
      </c>
      <c r="S18" s="15" t="n"/>
      <c r="T18" s="15" t="n"/>
      <c r="U18" s="16" t="n"/>
      <c r="X18" s="21" t="n"/>
      <c r="Y18" s="15" t="n"/>
      <c r="Z18" s="15" t="n"/>
      <c r="AA18" s="16" t="n"/>
      <c r="AD18" s="22" t="n"/>
      <c r="AE18" s="15" t="n"/>
      <c r="AF18" s="15" t="n"/>
      <c r="AG18" s="16" t="n"/>
      <c r="AH18" s="48" t="n"/>
      <c r="AI18" s="48" t="n"/>
      <c r="AJ18" s="23" t="n"/>
      <c r="AK18" s="15" t="n"/>
      <c r="AL18" s="15" t="n"/>
      <c r="AM18" s="16" t="n"/>
      <c r="AP18" s="23" t="n"/>
      <c r="AQ18" s="15" t="n"/>
      <c r="AR18" s="15" t="n"/>
      <c r="AS18" s="16" t="n"/>
    </row>
    <row r="19" s="71">
      <c r="D19" s="18" t="n"/>
      <c r="J19" s="15" t="n"/>
      <c r="K19" s="15" t="n"/>
      <c r="L19" s="16" t="n"/>
      <c r="R19" s="19" t="n">
        <v>300</v>
      </c>
      <c r="S19" s="15" t="n"/>
      <c r="T19" s="15" t="n"/>
      <c r="U19" s="16" t="n"/>
      <c r="X19" s="21" t="n"/>
      <c r="Y19" s="15" t="n"/>
      <c r="Z19" s="15" t="n"/>
      <c r="AA19" s="16" t="n"/>
      <c r="AD19" s="22" t="n"/>
      <c r="AE19" s="15" t="n"/>
      <c r="AF19" s="15" t="n"/>
      <c r="AG19" s="16" t="n"/>
      <c r="AH19" s="48" t="n"/>
      <c r="AI19" s="48" t="n"/>
      <c r="AJ19" s="23" t="n"/>
      <c r="AK19" s="15" t="n"/>
      <c r="AL19" s="15" t="n"/>
      <c r="AM19" s="16" t="n"/>
      <c r="AP19" s="23" t="n"/>
      <c r="AQ19" s="15" t="n"/>
      <c r="AR19" s="15" t="n"/>
      <c r="AS19" s="16" t="n"/>
    </row>
    <row r="20" ht="6.75" customHeight="1" s="71">
      <c r="A20" s="27" t="n"/>
      <c r="B20" s="27" t="n"/>
      <c r="C20" s="27" t="n"/>
      <c r="D20" s="27" t="n"/>
      <c r="E20" s="27" t="n"/>
      <c r="F20" s="27" t="n"/>
      <c r="G20" s="27" t="n"/>
      <c r="H20" s="35" t="n"/>
      <c r="I20" s="35" t="n"/>
      <c r="J20" s="36" t="n"/>
      <c r="K20" s="36" t="n"/>
      <c r="L20" s="36" t="n"/>
      <c r="M20" s="35" t="n"/>
      <c r="N20" s="30" t="n"/>
      <c r="O20" s="30" t="n"/>
      <c r="P20" s="30" t="n"/>
      <c r="Q20" s="30" t="n"/>
      <c r="R20" s="35" t="n"/>
      <c r="S20" s="35" t="n"/>
      <c r="T20" s="35" t="n"/>
      <c r="U20" s="35" t="n"/>
      <c r="V20" s="35" t="n"/>
      <c r="W20" s="35" t="n"/>
      <c r="X20" s="31" t="n"/>
      <c r="Y20" s="35" t="n"/>
      <c r="Z20" s="35" t="n"/>
      <c r="AA20" s="36" t="n"/>
      <c r="AB20" s="35" t="n"/>
      <c r="AC20" s="35" t="n"/>
      <c r="AD20" s="32" t="n"/>
      <c r="AE20" s="35" t="n"/>
      <c r="AF20" s="35" t="n"/>
      <c r="AG20" s="36" t="n"/>
      <c r="AH20" s="35" t="n"/>
      <c r="AI20" s="35" t="n"/>
      <c r="AJ20" s="34" t="n"/>
      <c r="AK20" s="35" t="n"/>
      <c r="AL20" s="35" t="n"/>
      <c r="AM20" s="36" t="n"/>
      <c r="AN20" s="35" t="n"/>
      <c r="AO20" s="35" t="n"/>
      <c r="AP20" s="34" t="n"/>
      <c r="AQ20" s="35" t="n"/>
      <c r="AR20" s="35" t="n"/>
      <c r="AS20" s="36" t="n"/>
      <c r="AT20" s="35" t="n"/>
      <c r="AU20" s="35" t="n"/>
    </row>
    <row r="21" ht="24" customHeight="1" s="71">
      <c r="A21" s="10">
        <f>IMAGE("https://ae-pic-a1.aliexpress-media.com/kf/S15d605ad9579448ba3c140e67d273f235.jpg")</f>
        <v/>
      </c>
      <c r="D21" s="18" t="inlineStr">
        <is>
          <t>1/2/3Pcs Solar Charging LED Longshot Warning Light 3 Color Flashing To…</t>
        </is>
      </c>
      <c r="E21" s="12" t="inlineStr">
        <is>
          <t>AliExpress: US $22.62. Vår räkning: landad ca 326 kr, tänkt butikspris 799 kr. Originaltitel: 1/2/3Pcs Solar Charging LED Longshot Warning Light 3 Color Flashing Torch Light Portable Flashlight Boat Navigation Signal Light</t>
        </is>
      </c>
      <c r="H21" s="13" t="n"/>
      <c r="I21" s="14" t="inlineStr">
        <is>
          <t>SWEDEN</t>
        </is>
      </c>
      <c r="J21" s="15" t="n"/>
      <c r="K21" s="15" t="n"/>
      <c r="L21" s="16" t="n"/>
      <c r="M21" s="14" t="n"/>
      <c r="N21" s="17" t="inlineStr">
        <is>
          <t>https://www.aliexpress.com/item/1005010712839288.html</t>
        </is>
      </c>
      <c r="Q21" s="18" t="n"/>
      <c r="R21" s="19" t="n">
        <v>100</v>
      </c>
      <c r="S21" s="15" t="n"/>
      <c r="T21" s="15" t="n"/>
      <c r="U21" s="16" t="n"/>
      <c r="V21" s="48" t="n"/>
      <c r="W21" s="48" t="n"/>
      <c r="X21" s="21" t="n"/>
      <c r="Y21" s="15" t="n"/>
      <c r="Z21" s="15" t="n"/>
      <c r="AA21" s="16" t="n"/>
      <c r="AB21" s="48" t="n"/>
      <c r="AC21" s="48" t="n"/>
      <c r="AD21" s="22" t="n"/>
      <c r="AE21" s="15" t="n"/>
      <c r="AF21" s="15" t="n"/>
      <c r="AG21" s="16" t="n"/>
      <c r="AH21" s="48" t="n"/>
      <c r="AI21" s="48" t="n"/>
      <c r="AJ21" s="23" t="n"/>
      <c r="AK21" s="15" t="n"/>
      <c r="AL21" s="15" t="n"/>
      <c r="AM21" s="16" t="n"/>
      <c r="AN21" s="25" t="n"/>
      <c r="AO21" s="48" t="n"/>
      <c r="AP21" s="23" t="n"/>
      <c r="AQ21" s="15" t="n"/>
      <c r="AR21" s="15" t="n"/>
      <c r="AS21" s="16" t="n"/>
      <c r="AT21" s="25" t="n"/>
      <c r="AU21" s="26" t="n"/>
    </row>
    <row r="22" ht="25.5" customHeight="1" s="71">
      <c r="D22" s="18" t="n"/>
      <c r="J22" s="15" t="n"/>
      <c r="K22" s="15" t="n"/>
      <c r="L22" s="16" t="n"/>
      <c r="R22" s="19" t="n">
        <v>200</v>
      </c>
      <c r="S22" s="15" t="n"/>
      <c r="T22" s="15" t="n"/>
      <c r="U22" s="16" t="n"/>
      <c r="X22" s="21" t="n"/>
      <c r="Y22" s="15" t="n"/>
      <c r="Z22" s="15" t="n"/>
      <c r="AA22" s="16" t="n"/>
      <c r="AD22" s="22" t="n"/>
      <c r="AE22" s="15" t="n"/>
      <c r="AF22" s="15" t="n"/>
      <c r="AG22" s="16" t="n"/>
      <c r="AH22" s="48" t="n"/>
      <c r="AI22" s="48" t="n"/>
      <c r="AJ22" s="23" t="n"/>
      <c r="AK22" s="15" t="n"/>
      <c r="AL22" s="15" t="n"/>
      <c r="AM22" s="16" t="n"/>
      <c r="AP22" s="23" t="n"/>
      <c r="AQ22" s="15" t="n"/>
      <c r="AR22" s="15" t="n"/>
      <c r="AS22" s="16" t="n"/>
    </row>
    <row r="23" s="71">
      <c r="D23" s="18" t="n"/>
      <c r="J23" s="15" t="n"/>
      <c r="K23" s="15" t="n"/>
      <c r="L23" s="16" t="n"/>
      <c r="R23" s="19" t="n">
        <v>300</v>
      </c>
      <c r="S23" s="15" t="n"/>
      <c r="T23" s="15" t="n"/>
      <c r="U23" s="16" t="n"/>
      <c r="X23" s="21" t="n"/>
      <c r="Y23" s="15" t="n"/>
      <c r="Z23" s="15" t="n"/>
      <c r="AA23" s="16" t="n"/>
      <c r="AD23" s="22" t="n"/>
      <c r="AE23" s="15" t="n"/>
      <c r="AF23" s="15" t="n"/>
      <c r="AG23" s="16" t="n"/>
      <c r="AH23" s="48" t="n"/>
      <c r="AI23" s="48" t="n"/>
      <c r="AJ23" s="23" t="n"/>
      <c r="AK23" s="15" t="n"/>
      <c r="AL23" s="15" t="n"/>
      <c r="AM23" s="16" t="n"/>
      <c r="AP23" s="23" t="n"/>
      <c r="AQ23" s="15" t="n"/>
      <c r="AR23" s="15" t="n"/>
      <c r="AS23" s="16" t="n"/>
    </row>
    <row r="24" ht="6.75" customHeight="1" s="71">
      <c r="A24" s="27" t="n"/>
      <c r="B24" s="27" t="n"/>
      <c r="C24" s="27" t="n"/>
      <c r="D24" s="27" t="n"/>
      <c r="E24" s="27" t="n"/>
      <c r="F24" s="27" t="n"/>
      <c r="G24" s="27" t="n"/>
      <c r="H24" s="35" t="n"/>
      <c r="I24" s="35" t="n"/>
      <c r="J24" s="36" t="n"/>
      <c r="K24" s="36" t="n"/>
      <c r="L24" s="36" t="n"/>
      <c r="M24" s="35" t="n"/>
      <c r="N24" s="30" t="n"/>
      <c r="O24" s="30" t="n"/>
      <c r="P24" s="30" t="n"/>
      <c r="Q24" s="30" t="n"/>
      <c r="R24" s="35" t="n"/>
      <c r="S24" s="35" t="n"/>
      <c r="T24" s="35" t="n"/>
      <c r="U24" s="35" t="n"/>
      <c r="V24" s="35" t="n"/>
      <c r="W24" s="35" t="n"/>
      <c r="X24" s="31" t="n"/>
      <c r="Y24" s="35" t="n"/>
      <c r="Z24" s="35" t="n"/>
      <c r="AA24" s="36" t="n"/>
      <c r="AB24" s="35" t="n"/>
      <c r="AC24" s="35" t="n"/>
      <c r="AD24" s="32" t="n"/>
      <c r="AE24" s="35" t="n"/>
      <c r="AF24" s="35" t="n"/>
      <c r="AG24" s="36" t="n"/>
      <c r="AH24" s="35" t="n"/>
      <c r="AI24" s="35" t="n"/>
      <c r="AJ24" s="34" t="n"/>
      <c r="AK24" s="35" t="n"/>
      <c r="AL24" s="35" t="n"/>
      <c r="AM24" s="36" t="n"/>
      <c r="AN24" s="35" t="n"/>
      <c r="AO24" s="35" t="n"/>
      <c r="AP24" s="34" t="n"/>
      <c r="AQ24" s="35" t="n"/>
      <c r="AR24" s="35" t="n"/>
      <c r="AS24" s="36" t="n"/>
      <c r="AT24" s="35" t="n"/>
      <c r="AU24" s="35" t="n"/>
    </row>
    <row r="25" ht="24" customHeight="1" s="71">
      <c r="A25" s="10">
        <f>IMAGE("https://ae-pic-a1.aliexpress-media.com/kf/Seabb27633c8549378b013f0e7843e929k.jpg")</f>
        <v/>
      </c>
      <c r="D25" s="18" t="inlineStr">
        <is>
          <t>FLYY-Water Butt Filler Set For Downpipes, Rainwater Collector, Rain Ba…</t>
        </is>
      </c>
      <c r="E25" s="12" t="inlineStr">
        <is>
          <t>AliExpress: US $22.64. Vår räkning: landad ca 326 kr, tänkt butikspris 799 kr. Originaltitel: FLYY-Water Butt Filler Set For Downpipes, Rainwater Collector, Rain Barrel Diverter Kit Connects Downpipe To Water Butt</t>
        </is>
      </c>
      <c r="H25" s="13" t="n"/>
      <c r="I25" s="14" t="inlineStr">
        <is>
          <t>SWEDEN</t>
        </is>
      </c>
      <c r="J25" s="15" t="n"/>
      <c r="K25" s="15" t="n"/>
      <c r="L25" s="16" t="n"/>
      <c r="M25" s="14" t="n"/>
      <c r="N25" s="17" t="inlineStr">
        <is>
          <t>https://www.aliexpress.com/item/1005012797654262.html</t>
        </is>
      </c>
      <c r="Q25" s="18" t="n"/>
      <c r="R25" s="19" t="n">
        <v>100</v>
      </c>
      <c r="S25" s="15" t="n"/>
      <c r="T25" s="15" t="n"/>
      <c r="U25" s="16" t="n"/>
      <c r="V25" s="48" t="n"/>
      <c r="W25" s="48" t="n"/>
      <c r="X25" s="21" t="n"/>
      <c r="Y25" s="15" t="n"/>
      <c r="Z25" s="15" t="n"/>
      <c r="AA25" s="16" t="n"/>
      <c r="AB25" s="48" t="n"/>
      <c r="AC25" s="48" t="n"/>
      <c r="AD25" s="22" t="n"/>
      <c r="AE25" s="15" t="n"/>
      <c r="AF25" s="15" t="n"/>
      <c r="AG25" s="16" t="n"/>
      <c r="AH25" s="48" t="n"/>
      <c r="AI25" s="48" t="n"/>
      <c r="AJ25" s="23" t="n"/>
      <c r="AK25" s="15" t="n"/>
      <c r="AL25" s="15" t="n"/>
      <c r="AM25" s="16" t="n"/>
      <c r="AN25" s="25" t="n"/>
      <c r="AO25" s="48" t="n"/>
      <c r="AP25" s="23" t="n"/>
      <c r="AQ25" s="15" t="n"/>
      <c r="AR25" s="15" t="n"/>
      <c r="AS25" s="16" t="n"/>
      <c r="AT25" s="25" t="n"/>
      <c r="AU25" s="26" t="n"/>
    </row>
    <row r="26" ht="25.5" customHeight="1" s="71">
      <c r="D26" s="18" t="n"/>
      <c r="J26" s="15" t="n"/>
      <c r="K26" s="15" t="n"/>
      <c r="L26" s="16" t="n"/>
      <c r="R26" s="19" t="n">
        <v>200</v>
      </c>
      <c r="S26" s="15" t="n"/>
      <c r="T26" s="15" t="n"/>
      <c r="U26" s="16" t="n"/>
      <c r="X26" s="21" t="n"/>
      <c r="Y26" s="15" t="n"/>
      <c r="Z26" s="15" t="n"/>
      <c r="AA26" s="16" t="n"/>
      <c r="AD26" s="22" t="n"/>
      <c r="AE26" s="15" t="n"/>
      <c r="AF26" s="15" t="n"/>
      <c r="AG26" s="16" t="n"/>
      <c r="AH26" s="48" t="n"/>
      <c r="AI26" s="48" t="n"/>
      <c r="AJ26" s="23" t="n"/>
      <c r="AK26" s="15" t="n"/>
      <c r="AL26" s="15" t="n"/>
      <c r="AM26" s="16" t="n"/>
      <c r="AP26" s="23" t="n"/>
      <c r="AQ26" s="15" t="n"/>
      <c r="AR26" s="15" t="n"/>
      <c r="AS26" s="16" t="n"/>
    </row>
    <row r="27" s="71">
      <c r="D27" s="18" t="n"/>
      <c r="J27" s="15" t="n"/>
      <c r="K27" s="15" t="n"/>
      <c r="L27" s="16" t="n"/>
      <c r="R27" s="19" t="n">
        <v>300</v>
      </c>
      <c r="S27" s="15" t="n"/>
      <c r="T27" s="15" t="n"/>
      <c r="U27" s="16" t="n"/>
      <c r="X27" s="21" t="n"/>
      <c r="Y27" s="15" t="n"/>
      <c r="Z27" s="15" t="n"/>
      <c r="AA27" s="16" t="n"/>
      <c r="AD27" s="22" t="n"/>
      <c r="AE27" s="15" t="n"/>
      <c r="AF27" s="15" t="n"/>
      <c r="AG27" s="16" t="n"/>
      <c r="AH27" s="48" t="n"/>
      <c r="AI27" s="48" t="n"/>
      <c r="AJ27" s="23" t="n"/>
      <c r="AK27" s="15" t="n"/>
      <c r="AL27" s="15" t="n"/>
      <c r="AM27" s="16" t="n"/>
      <c r="AP27" s="23" t="n"/>
      <c r="AQ27" s="15" t="n"/>
      <c r="AR27" s="15" t="n"/>
      <c r="AS27" s="16" t="n"/>
    </row>
    <row r="28" ht="6.75" customHeight="1" s="71">
      <c r="A28" s="27" t="n"/>
      <c r="B28" s="27" t="n"/>
      <c r="C28" s="27" t="n"/>
      <c r="D28" s="27" t="n"/>
      <c r="E28" s="27" t="n"/>
      <c r="F28" s="27" t="n"/>
      <c r="G28" s="27" t="n"/>
      <c r="H28" s="35" t="n"/>
      <c r="I28" s="35" t="n"/>
      <c r="J28" s="36" t="n"/>
      <c r="K28" s="36" t="n"/>
      <c r="L28" s="36" t="n"/>
      <c r="M28" s="35" t="n"/>
      <c r="N28" s="30" t="n"/>
      <c r="O28" s="30" t="n"/>
      <c r="P28" s="30" t="n"/>
      <c r="Q28" s="30" t="n"/>
      <c r="R28" s="35" t="n"/>
      <c r="S28" s="35" t="n"/>
      <c r="T28" s="35" t="n"/>
      <c r="U28" s="35" t="n"/>
      <c r="V28" s="35" t="n"/>
      <c r="W28" s="35" t="n"/>
      <c r="X28" s="31" t="n"/>
      <c r="Y28" s="35" t="n"/>
      <c r="Z28" s="35" t="n"/>
      <c r="AA28" s="36" t="n"/>
      <c r="AB28" s="35" t="n"/>
      <c r="AC28" s="35" t="n"/>
      <c r="AD28" s="32" t="n"/>
      <c r="AE28" s="35" t="n"/>
      <c r="AF28" s="35" t="n"/>
      <c r="AG28" s="36" t="n"/>
      <c r="AH28" s="35" t="n"/>
      <c r="AI28" s="35" t="n"/>
      <c r="AJ28" s="34" t="n"/>
      <c r="AK28" s="35" t="n"/>
      <c r="AL28" s="35" t="n"/>
      <c r="AM28" s="36" t="n"/>
      <c r="AN28" s="35" t="n"/>
      <c r="AO28" s="35" t="n"/>
      <c r="AP28" s="34" t="n"/>
      <c r="AQ28" s="35" t="n"/>
      <c r="AR28" s="35" t="n"/>
      <c r="AS28" s="36" t="n"/>
      <c r="AT28" s="35" t="n"/>
      <c r="AU28" s="35" t="n"/>
    </row>
    <row r="29" ht="24" customHeight="1" s="71">
      <c r="A29" s="10">
        <f>IMAGE("https://ae-pic-a1.aliexpress-media.com/kf/S7eb1605108374fc9bbb9c200eb2dc734f.jpg")</f>
        <v/>
      </c>
      <c r="D29" s="18" t="inlineStr">
        <is>
          <t>Rainwater Collection System Easy Installation Efficient Rain Barrel Di…</t>
        </is>
      </c>
      <c r="E29" s="12" t="inlineStr">
        <is>
          <t>AliExpress: US $20.03. Vår räkning: landad ca 288 kr, tänkt butikspris 699 kr. Originaltitel: Rainwater Collection System Easy Installation Efficient Rain Barrel Diverter Kit For Downspout Brown</t>
        </is>
      </c>
      <c r="H29" s="13" t="n"/>
      <c r="I29" s="14" t="inlineStr">
        <is>
          <t>SWEDEN</t>
        </is>
      </c>
      <c r="J29" s="15" t="n"/>
      <c r="K29" s="15" t="n"/>
      <c r="L29" s="16" t="n"/>
      <c r="M29" s="14" t="n"/>
      <c r="N29" s="17" t="inlineStr">
        <is>
          <t>https://www.aliexpress.com/item/1005010580025501.html</t>
        </is>
      </c>
      <c r="Q29" s="18" t="n"/>
      <c r="R29" s="19" t="n">
        <v>100</v>
      </c>
      <c r="S29" s="15" t="n"/>
      <c r="T29" s="15" t="n"/>
      <c r="U29" s="16" t="n"/>
      <c r="V29" s="48" t="n"/>
      <c r="W29" s="48" t="n"/>
      <c r="X29" s="21" t="n"/>
      <c r="Y29" s="15" t="n"/>
      <c r="Z29" s="15" t="n"/>
      <c r="AA29" s="16" t="n"/>
      <c r="AB29" s="48" t="n"/>
      <c r="AC29" s="48" t="n"/>
      <c r="AD29" s="22" t="n"/>
      <c r="AE29" s="15" t="n"/>
      <c r="AF29" s="15" t="n"/>
      <c r="AG29" s="16" t="n"/>
      <c r="AH29" s="48" t="n"/>
      <c r="AI29" s="48" t="n"/>
      <c r="AJ29" s="23" t="n"/>
      <c r="AK29" s="15" t="n"/>
      <c r="AL29" s="15" t="n"/>
      <c r="AM29" s="16" t="n"/>
      <c r="AN29" s="25" t="n"/>
      <c r="AO29" s="48" t="n"/>
      <c r="AP29" s="23" t="n"/>
      <c r="AQ29" s="15" t="n"/>
      <c r="AR29" s="15" t="n"/>
      <c r="AS29" s="16" t="n"/>
      <c r="AT29" s="25" t="n"/>
      <c r="AU29" s="26" t="n"/>
    </row>
    <row r="30" ht="25.5" customHeight="1" s="71">
      <c r="D30" s="18" t="n"/>
      <c r="J30" s="15" t="n"/>
      <c r="K30" s="15" t="n"/>
      <c r="L30" s="16" t="n"/>
      <c r="R30" s="19" t="n">
        <v>200</v>
      </c>
      <c r="S30" s="15" t="n"/>
      <c r="T30" s="15" t="n"/>
      <c r="U30" s="16" t="n"/>
      <c r="X30" s="21" t="n"/>
      <c r="Y30" s="15" t="n"/>
      <c r="Z30" s="15" t="n"/>
      <c r="AA30" s="16" t="n"/>
      <c r="AD30" s="22" t="n"/>
      <c r="AE30" s="15" t="n"/>
      <c r="AF30" s="15" t="n"/>
      <c r="AG30" s="16" t="n"/>
      <c r="AH30" s="48" t="n"/>
      <c r="AI30" s="48" t="n"/>
      <c r="AJ30" s="23" t="n"/>
      <c r="AK30" s="15" t="n"/>
      <c r="AL30" s="15" t="n"/>
      <c r="AM30" s="16" t="n"/>
      <c r="AP30" s="23" t="n"/>
      <c r="AQ30" s="15" t="n"/>
      <c r="AR30" s="15" t="n"/>
      <c r="AS30" s="16" t="n"/>
    </row>
    <row r="31" s="71">
      <c r="D31" s="18" t="n"/>
      <c r="J31" s="15" t="n"/>
      <c r="K31" s="15" t="n"/>
      <c r="L31" s="16" t="n"/>
      <c r="R31" s="19" t="n">
        <v>300</v>
      </c>
      <c r="S31" s="15" t="n"/>
      <c r="T31" s="15" t="n"/>
      <c r="U31" s="16" t="n"/>
      <c r="X31" s="21" t="n"/>
      <c r="Y31" s="15" t="n"/>
      <c r="Z31" s="15" t="n"/>
      <c r="AA31" s="16" t="n"/>
      <c r="AD31" s="22" t="n"/>
      <c r="AE31" s="15" t="n"/>
      <c r="AF31" s="15" t="n"/>
      <c r="AG31" s="16" t="n"/>
      <c r="AH31" s="48" t="n"/>
      <c r="AI31" s="48" t="n"/>
      <c r="AJ31" s="23" t="n"/>
      <c r="AK31" s="15" t="n"/>
      <c r="AL31" s="15" t="n"/>
      <c r="AM31" s="16" t="n"/>
      <c r="AP31" s="23" t="n"/>
      <c r="AQ31" s="15" t="n"/>
      <c r="AR31" s="15" t="n"/>
      <c r="AS31" s="16" t="n"/>
    </row>
    <row r="32" ht="6.75" customHeight="1" s="71">
      <c r="A32" s="27" t="n"/>
      <c r="B32" s="27" t="n"/>
      <c r="C32" s="27" t="n"/>
      <c r="D32" s="27" t="n"/>
      <c r="E32" s="27" t="n"/>
      <c r="F32" s="27" t="n"/>
      <c r="G32" s="27" t="n"/>
      <c r="H32" s="35" t="n"/>
      <c r="I32" s="35" t="n"/>
      <c r="J32" s="36" t="n"/>
      <c r="K32" s="36" t="n"/>
      <c r="L32" s="36" t="n"/>
      <c r="M32" s="35" t="n"/>
      <c r="N32" s="30" t="n"/>
      <c r="O32" s="30" t="n"/>
      <c r="P32" s="30" t="n"/>
      <c r="Q32" s="30" t="n"/>
      <c r="R32" s="35" t="n"/>
      <c r="S32" s="35" t="n"/>
      <c r="T32" s="35" t="n"/>
      <c r="U32" s="35" t="n"/>
      <c r="V32" s="35" t="n"/>
      <c r="W32" s="35" t="n"/>
      <c r="X32" s="31" t="n"/>
      <c r="Y32" s="35" t="n"/>
      <c r="Z32" s="35" t="n"/>
      <c r="AA32" s="36" t="n"/>
      <c r="AB32" s="35" t="n"/>
      <c r="AC32" s="35" t="n"/>
      <c r="AD32" s="32" t="n"/>
      <c r="AE32" s="35" t="n"/>
      <c r="AF32" s="35" t="n"/>
      <c r="AG32" s="36" t="n"/>
      <c r="AH32" s="35" t="n"/>
      <c r="AI32" s="35" t="n"/>
      <c r="AJ32" s="34" t="n"/>
      <c r="AK32" s="35" t="n"/>
      <c r="AL32" s="35" t="n"/>
      <c r="AM32" s="36" t="n"/>
      <c r="AN32" s="35" t="n"/>
      <c r="AO32" s="35" t="n"/>
      <c r="AP32" s="34" t="n"/>
      <c r="AQ32" s="35" t="n"/>
      <c r="AR32" s="35" t="n"/>
      <c r="AS32" s="36" t="n"/>
      <c r="AT32" s="35" t="n"/>
      <c r="AU32" s="35" t="n"/>
    </row>
    <row r="33" ht="24" customHeight="1" s="71">
      <c r="A33" s="10">
        <f>IMAGE("https://ae-pic-a1.aliexpress-media.com/kf/S31821eb7745f4de694136cf4e2a6df7cX.jpg")</f>
        <v/>
      </c>
      <c r="D33" s="18" t="inlineStr">
        <is>
          <t>3 in 1 Aluminum Ship Boat Cover Support Pole Marine Adjustable Stand 2…</t>
        </is>
      </c>
      <c r="E33" s="12" t="inlineStr">
        <is>
          <t>AliExpress: US $28.81. Vår räkning: landad ca 415 kr, tänkt butikspris 999 kr. Originaltitel: 3 in 1 Aluminum Ship Boat Cover Support Pole Marine Adjustable Stand 22'' to</t>
        </is>
      </c>
      <c r="H33" s="13" t="n"/>
      <c r="I33" s="14" t="inlineStr">
        <is>
          <t>SWEDEN</t>
        </is>
      </c>
      <c r="J33" s="15" t="n"/>
      <c r="K33" s="15" t="n"/>
      <c r="L33" s="16" t="n"/>
      <c r="M33" s="14" t="n"/>
      <c r="N33" s="17" t="inlineStr">
        <is>
          <t>https://www.aliexpress.com/item/1005010318124054.html</t>
        </is>
      </c>
      <c r="Q33" s="18" t="n"/>
      <c r="R33" s="19" t="n">
        <v>100</v>
      </c>
      <c r="S33" s="15" t="n"/>
      <c r="T33" s="15" t="n"/>
      <c r="U33" s="16" t="n"/>
      <c r="V33" s="48" t="n"/>
      <c r="W33" s="48" t="n"/>
      <c r="X33" s="21" t="n"/>
      <c r="Y33" s="15" t="n"/>
      <c r="Z33" s="15" t="n"/>
      <c r="AA33" s="16" t="n"/>
      <c r="AB33" s="48" t="n"/>
      <c r="AC33" s="48" t="n"/>
      <c r="AD33" s="22" t="n"/>
      <c r="AE33" s="15" t="n"/>
      <c r="AF33" s="15" t="n"/>
      <c r="AG33" s="16" t="n"/>
      <c r="AH33" s="48" t="n"/>
      <c r="AI33" s="48" t="n"/>
      <c r="AJ33" s="23" t="n"/>
      <c r="AK33" s="15" t="n"/>
      <c r="AL33" s="15" t="n"/>
      <c r="AM33" s="16" t="n"/>
      <c r="AN33" s="25" t="n"/>
      <c r="AO33" s="48" t="n"/>
      <c r="AP33" s="23" t="n"/>
      <c r="AQ33" s="15" t="n"/>
      <c r="AR33" s="15" t="n"/>
      <c r="AS33" s="16" t="n"/>
      <c r="AT33" s="25" t="n"/>
      <c r="AU33" s="26" t="n"/>
    </row>
    <row r="34" ht="25.5" customHeight="1" s="71">
      <c r="D34" s="18" t="n"/>
      <c r="J34" s="15" t="n"/>
      <c r="K34" s="15" t="n"/>
      <c r="L34" s="16" t="n"/>
      <c r="R34" s="19" t="n">
        <v>200</v>
      </c>
      <c r="S34" s="15" t="n"/>
      <c r="T34" s="15" t="n"/>
      <c r="U34" s="16" t="n"/>
      <c r="X34" s="21" t="n"/>
      <c r="Y34" s="15" t="n"/>
      <c r="Z34" s="15" t="n"/>
      <c r="AA34" s="16" t="n"/>
      <c r="AD34" s="22" t="n"/>
      <c r="AE34" s="15" t="n"/>
      <c r="AF34" s="15" t="n"/>
      <c r="AG34" s="16" t="n"/>
      <c r="AH34" s="48" t="n"/>
      <c r="AI34" s="48" t="n"/>
      <c r="AJ34" s="23" t="n"/>
      <c r="AK34" s="15" t="n"/>
      <c r="AL34" s="15" t="n"/>
      <c r="AM34" s="16" t="n"/>
      <c r="AP34" s="23" t="n"/>
      <c r="AQ34" s="15" t="n"/>
      <c r="AR34" s="15" t="n"/>
      <c r="AS34" s="16" t="n"/>
    </row>
    <row r="35" s="71">
      <c r="D35" s="18" t="n"/>
      <c r="J35" s="15" t="n"/>
      <c r="K35" s="15" t="n"/>
      <c r="L35" s="16" t="n"/>
      <c r="R35" s="19" t="n">
        <v>300</v>
      </c>
      <c r="S35" s="15" t="n"/>
      <c r="T35" s="15" t="n"/>
      <c r="U35" s="16" t="n"/>
      <c r="X35" s="21" t="n"/>
      <c r="Y35" s="15" t="n"/>
      <c r="Z35" s="15" t="n"/>
      <c r="AA35" s="16" t="n"/>
      <c r="AD35" s="22" t="n"/>
      <c r="AE35" s="15" t="n"/>
      <c r="AF35" s="15" t="n"/>
      <c r="AG35" s="16" t="n"/>
      <c r="AH35" s="48" t="n"/>
      <c r="AI35" s="48" t="n"/>
      <c r="AJ35" s="23" t="n"/>
      <c r="AK35" s="15" t="n"/>
      <c r="AL35" s="15" t="n"/>
      <c r="AM35" s="16" t="n"/>
      <c r="AP35" s="23" t="n"/>
      <c r="AQ35" s="15" t="n"/>
      <c r="AR35" s="15" t="n"/>
      <c r="AS35" s="16" t="n"/>
    </row>
    <row r="36" ht="6.75" customHeight="1" s="71">
      <c r="A36" s="27" t="n"/>
      <c r="B36" s="27" t="n"/>
      <c r="C36" s="27" t="n"/>
      <c r="D36" s="27" t="n"/>
      <c r="E36" s="27" t="n"/>
      <c r="F36" s="27" t="n"/>
      <c r="G36" s="27" t="n"/>
      <c r="H36" s="35" t="n"/>
      <c r="I36" s="35" t="n"/>
      <c r="J36" s="36" t="n"/>
      <c r="K36" s="36" t="n"/>
      <c r="L36" s="36" t="n"/>
      <c r="M36" s="35" t="n"/>
      <c r="N36" s="30" t="n"/>
      <c r="O36" s="30" t="n"/>
      <c r="P36" s="30" t="n"/>
      <c r="Q36" s="30" t="n"/>
      <c r="R36" s="35" t="n"/>
      <c r="S36" s="35" t="n"/>
      <c r="T36" s="35" t="n"/>
      <c r="U36" s="35" t="n"/>
      <c r="V36" s="35" t="n"/>
      <c r="W36" s="35" t="n"/>
      <c r="X36" s="31" t="n"/>
      <c r="Y36" s="35" t="n"/>
      <c r="Z36" s="35" t="n"/>
      <c r="AA36" s="36" t="n"/>
      <c r="AB36" s="35" t="n"/>
      <c r="AC36" s="35" t="n"/>
      <c r="AD36" s="32" t="n"/>
      <c r="AE36" s="35" t="n"/>
      <c r="AF36" s="35" t="n"/>
      <c r="AG36" s="36" t="n"/>
      <c r="AH36" s="35" t="n"/>
      <c r="AI36" s="35" t="n"/>
      <c r="AJ36" s="34" t="n"/>
      <c r="AK36" s="35" t="n"/>
      <c r="AL36" s="35" t="n"/>
      <c r="AM36" s="36" t="n"/>
      <c r="AN36" s="35" t="n"/>
      <c r="AO36" s="35" t="n"/>
      <c r="AP36" s="34" t="n"/>
      <c r="AQ36" s="35" t="n"/>
      <c r="AR36" s="35" t="n"/>
      <c r="AS36" s="36" t="n"/>
      <c r="AT36" s="35" t="n"/>
      <c r="AU36" s="35" t="n"/>
    </row>
    <row r="37" ht="24" customHeight="1" s="71">
      <c r="A37" s="10">
        <f>IMAGE("https://ae-pic-a1.aliexpress-media.com/kf/Scbcc18495dd14007a943eb5d126f2372v.jpg")</f>
        <v/>
      </c>
      <c r="D37" s="18" t="inlineStr">
        <is>
          <t>Downpipe Diverter Rectangular Shape Plastic Rainwater Diverter Downspo…</t>
        </is>
      </c>
      <c r="E37" s="12" t="inlineStr">
        <is>
          <t>AliExpress: US $25.87. Vår räkning: landad ca 373 kr, tänkt butikspris 899 kr. Originaltitel: Downpipe Diverter Rectangular Shape Plastic Rainwater Diverter Downspout Rain Collector Corrugated Hose</t>
        </is>
      </c>
      <c r="H37" s="13" t="n"/>
      <c r="I37" s="14" t="inlineStr">
        <is>
          <t>SWEDEN</t>
        </is>
      </c>
      <c r="J37" s="15" t="n"/>
      <c r="K37" s="15" t="n"/>
      <c r="L37" s="16" t="n"/>
      <c r="M37" s="14" t="n"/>
      <c r="N37" s="17" t="inlineStr">
        <is>
          <t>https://www.aliexpress.com/item/1005012502051940.html</t>
        </is>
      </c>
      <c r="Q37" s="18" t="n"/>
      <c r="R37" s="19" t="n">
        <v>100</v>
      </c>
      <c r="S37" s="15" t="n"/>
      <c r="T37" s="15" t="n"/>
      <c r="U37" s="16" t="n"/>
      <c r="V37" s="48" t="n"/>
      <c r="W37" s="48" t="n"/>
      <c r="X37" s="21" t="n"/>
      <c r="Y37" s="15" t="n"/>
      <c r="Z37" s="15" t="n"/>
      <c r="AA37" s="16" t="n"/>
      <c r="AB37" s="48" t="n"/>
      <c r="AC37" s="48" t="n"/>
      <c r="AD37" s="22" t="n"/>
      <c r="AE37" s="15" t="n"/>
      <c r="AF37" s="15" t="n"/>
      <c r="AG37" s="16" t="n"/>
      <c r="AH37" s="48" t="n"/>
      <c r="AI37" s="48" t="n"/>
      <c r="AJ37" s="23" t="n"/>
      <c r="AK37" s="15" t="n"/>
      <c r="AL37" s="15" t="n"/>
      <c r="AM37" s="16" t="n"/>
      <c r="AN37" s="25" t="n"/>
      <c r="AO37" s="48" t="n"/>
      <c r="AP37" s="23" t="n"/>
      <c r="AQ37" s="15" t="n"/>
      <c r="AR37" s="15" t="n"/>
      <c r="AS37" s="16" t="n"/>
      <c r="AT37" s="25" t="n"/>
      <c r="AU37" s="26" t="n"/>
    </row>
    <row r="38" ht="25.5" customHeight="1" s="71">
      <c r="D38" s="18" t="n"/>
      <c r="J38" s="15" t="n"/>
      <c r="K38" s="15" t="n"/>
      <c r="L38" s="16" t="n"/>
      <c r="R38" s="19" t="n">
        <v>200</v>
      </c>
      <c r="S38" s="15" t="n"/>
      <c r="T38" s="15" t="n"/>
      <c r="U38" s="16" t="n"/>
      <c r="X38" s="21" t="n"/>
      <c r="Y38" s="15" t="n"/>
      <c r="Z38" s="15" t="n"/>
      <c r="AA38" s="16" t="n"/>
      <c r="AD38" s="22" t="n"/>
      <c r="AE38" s="15" t="n"/>
      <c r="AF38" s="15" t="n"/>
      <c r="AG38" s="16" t="n"/>
      <c r="AH38" s="48" t="n"/>
      <c r="AI38" s="48" t="n"/>
      <c r="AJ38" s="23" t="n"/>
      <c r="AK38" s="15" t="n"/>
      <c r="AL38" s="15" t="n"/>
      <c r="AM38" s="16" t="n"/>
      <c r="AP38" s="23" t="n"/>
      <c r="AQ38" s="15" t="n"/>
      <c r="AR38" s="15" t="n"/>
      <c r="AS38" s="16" t="n"/>
    </row>
    <row r="39" s="71">
      <c r="D39" s="18" t="n"/>
      <c r="J39" s="15" t="n"/>
      <c r="K39" s="15" t="n"/>
      <c r="L39" s="16" t="n"/>
      <c r="R39" s="19" t="n">
        <v>300</v>
      </c>
      <c r="S39" s="15" t="n"/>
      <c r="T39" s="15" t="n"/>
      <c r="U39" s="16" t="n"/>
      <c r="X39" s="21" t="n"/>
      <c r="Y39" s="15" t="n"/>
      <c r="Z39" s="15" t="n"/>
      <c r="AA39" s="16" t="n"/>
      <c r="AD39" s="22" t="n"/>
      <c r="AE39" s="15" t="n"/>
      <c r="AF39" s="15" t="n"/>
      <c r="AG39" s="16" t="n"/>
      <c r="AH39" s="48" t="n"/>
      <c r="AI39" s="48" t="n"/>
      <c r="AJ39" s="23" t="n"/>
      <c r="AK39" s="15" t="n"/>
      <c r="AL39" s="15" t="n"/>
      <c r="AM39" s="16" t="n"/>
      <c r="AP39" s="23" t="n"/>
      <c r="AQ39" s="15" t="n"/>
      <c r="AR39" s="15" t="n"/>
      <c r="AS39" s="16" t="n"/>
    </row>
    <row r="40" ht="6.75" customHeight="1" s="71">
      <c r="A40" s="27" t="n"/>
      <c r="B40" s="27" t="n"/>
      <c r="C40" s="27" t="n"/>
      <c r="D40" s="27" t="n"/>
      <c r="E40" s="27" t="n"/>
      <c r="F40" s="27" t="n"/>
      <c r="G40" s="27" t="n"/>
      <c r="H40" s="35" t="n"/>
      <c r="I40" s="35" t="n"/>
      <c r="J40" s="36" t="n"/>
      <c r="K40" s="36" t="n"/>
      <c r="L40" s="36" t="n"/>
      <c r="M40" s="35" t="n"/>
      <c r="N40" s="30" t="n"/>
      <c r="O40" s="30" t="n"/>
      <c r="P40" s="30" t="n"/>
      <c r="Q40" s="30" t="n"/>
      <c r="R40" s="35" t="n"/>
      <c r="S40" s="35" t="n"/>
      <c r="T40" s="35" t="n"/>
      <c r="U40" s="35" t="n"/>
      <c r="V40" s="35" t="n"/>
      <c r="W40" s="35" t="n"/>
      <c r="X40" s="31" t="n"/>
      <c r="Y40" s="35" t="n"/>
      <c r="Z40" s="35" t="n"/>
      <c r="AA40" s="36" t="n"/>
      <c r="AB40" s="35" t="n"/>
      <c r="AC40" s="35" t="n"/>
      <c r="AD40" s="32" t="n"/>
      <c r="AE40" s="35" t="n"/>
      <c r="AF40" s="35" t="n"/>
      <c r="AG40" s="36" t="n"/>
      <c r="AH40" s="35" t="n"/>
      <c r="AI40" s="35" t="n"/>
      <c r="AJ40" s="34" t="n"/>
      <c r="AK40" s="35" t="n"/>
      <c r="AL40" s="35" t="n"/>
      <c r="AM40" s="36" t="n"/>
      <c r="AN40" s="35" t="n"/>
      <c r="AO40" s="35" t="n"/>
      <c r="AP40" s="34" t="n"/>
      <c r="AQ40" s="35" t="n"/>
      <c r="AR40" s="35" t="n"/>
      <c r="AS40" s="36" t="n"/>
      <c r="AT40" s="35" t="n"/>
      <c r="AU40" s="35" t="n"/>
    </row>
    <row r="41" ht="24" customHeight="1" s="71">
      <c r="A41" s="10">
        <f>IMAGE("https://ae-pic-a1.aliexpress-media.com/kf/Sc87ec94ba4b94ae1b0f39ca26cfcad8dT.png")</f>
        <v/>
      </c>
      <c r="D41" s="18" t="inlineStr">
        <is>
          <t>Solar Alarm IP65 Waterproof PIR Motion Detection Alarm with Siren and …</t>
        </is>
      </c>
      <c r="E41" s="12" t="inlineStr">
        <is>
          <t>AliExpress: US $23.07. Vår räkning: landad ca 332 kr, tänkt butikspris 799 kr. Originaltitel: Solar Alarm IP65 Waterproof PIR Motion Detection Alarm with Siren and Strobe Light For Home Security Alarm System</t>
        </is>
      </c>
      <c r="H41" s="13" t="n"/>
      <c r="I41" s="14" t="inlineStr">
        <is>
          <t>SWEDEN</t>
        </is>
      </c>
      <c r="J41" s="15" t="n"/>
      <c r="K41" s="15" t="n"/>
      <c r="L41" s="16" t="n"/>
      <c r="M41" s="14" t="n"/>
      <c r="N41" s="17" t="inlineStr">
        <is>
          <t>https://www.aliexpress.com/item/1005012241693262.html</t>
        </is>
      </c>
      <c r="Q41" s="18" t="n"/>
      <c r="R41" s="19" t="n">
        <v>100</v>
      </c>
      <c r="S41" s="15" t="n"/>
      <c r="T41" s="15" t="n"/>
      <c r="U41" s="16" t="n"/>
      <c r="V41" s="48" t="n"/>
      <c r="W41" s="48" t="n"/>
      <c r="X41" s="21" t="n"/>
      <c r="Y41" s="15" t="n"/>
      <c r="Z41" s="15" t="n"/>
      <c r="AA41" s="16" t="n"/>
      <c r="AB41" s="48" t="n"/>
      <c r="AC41" s="48" t="n"/>
      <c r="AD41" s="22" t="n"/>
      <c r="AE41" s="15" t="n"/>
      <c r="AF41" s="15" t="n"/>
      <c r="AG41" s="16" t="n"/>
      <c r="AH41" s="48" t="n"/>
      <c r="AI41" s="48" t="n"/>
      <c r="AJ41" s="23" t="n"/>
      <c r="AK41" s="15" t="n"/>
      <c r="AL41" s="15" t="n"/>
      <c r="AM41" s="16" t="n"/>
      <c r="AN41" s="25" t="n"/>
      <c r="AO41" s="48" t="n"/>
      <c r="AP41" s="23" t="n"/>
      <c r="AQ41" s="15" t="n"/>
      <c r="AR41" s="15" t="n"/>
      <c r="AS41" s="16" t="n"/>
      <c r="AT41" s="25" t="n"/>
      <c r="AU41" s="26" t="n"/>
    </row>
    <row r="42" ht="25.5" customHeight="1" s="71">
      <c r="D42" s="18" t="n"/>
      <c r="J42" s="15" t="n"/>
      <c r="K42" s="15" t="n"/>
      <c r="L42" s="16" t="n"/>
      <c r="R42" s="19" t="n">
        <v>200</v>
      </c>
      <c r="S42" s="15" t="n"/>
      <c r="T42" s="15" t="n"/>
      <c r="U42" s="16" t="n"/>
      <c r="X42" s="21" t="n"/>
      <c r="Y42" s="15" t="n"/>
      <c r="Z42" s="15" t="n"/>
      <c r="AA42" s="16" t="n"/>
      <c r="AD42" s="22" t="n"/>
      <c r="AE42" s="15" t="n"/>
      <c r="AF42" s="15" t="n"/>
      <c r="AG42" s="16" t="n"/>
      <c r="AH42" s="48" t="n"/>
      <c r="AI42" s="48" t="n"/>
      <c r="AJ42" s="23" t="n"/>
      <c r="AK42" s="15" t="n"/>
      <c r="AL42" s="15" t="n"/>
      <c r="AM42" s="16" t="n"/>
      <c r="AP42" s="23" t="n"/>
      <c r="AQ42" s="15" t="n"/>
      <c r="AR42" s="15" t="n"/>
      <c r="AS42" s="16" t="n"/>
    </row>
    <row r="43" s="71">
      <c r="D43" s="18" t="n"/>
      <c r="J43" s="15" t="n"/>
      <c r="K43" s="15" t="n"/>
      <c r="L43" s="16" t="n"/>
      <c r="R43" s="19" t="n">
        <v>300</v>
      </c>
      <c r="S43" s="15" t="n"/>
      <c r="T43" s="15" t="n"/>
      <c r="U43" s="16" t="n"/>
      <c r="X43" s="21" t="n"/>
      <c r="Y43" s="15" t="n"/>
      <c r="Z43" s="15" t="n"/>
      <c r="AA43" s="16" t="n"/>
      <c r="AD43" s="22" t="n"/>
      <c r="AE43" s="15" t="n"/>
      <c r="AF43" s="15" t="n"/>
      <c r="AG43" s="16" t="n"/>
      <c r="AH43" s="48" t="n"/>
      <c r="AI43" s="48" t="n"/>
      <c r="AJ43" s="23" t="n"/>
      <c r="AK43" s="15" t="n"/>
      <c r="AL43" s="15" t="n"/>
      <c r="AM43" s="16" t="n"/>
      <c r="AP43" s="23" t="n"/>
      <c r="AQ43" s="15" t="n"/>
      <c r="AR43" s="15" t="n"/>
      <c r="AS43" s="16" t="n"/>
    </row>
    <row r="44" ht="6.75" customHeight="1" s="71">
      <c r="A44" s="27" t="n"/>
      <c r="B44" s="27" t="n"/>
      <c r="C44" s="27" t="n"/>
      <c r="D44" s="27" t="n"/>
      <c r="E44" s="27" t="n"/>
      <c r="F44" s="27" t="n"/>
      <c r="G44" s="27" t="n"/>
      <c r="H44" s="35" t="n"/>
      <c r="I44" s="35" t="n"/>
      <c r="J44" s="36" t="n"/>
      <c r="K44" s="36" t="n"/>
      <c r="L44" s="36" t="n"/>
      <c r="M44" s="35" t="n"/>
      <c r="N44" s="30" t="n"/>
      <c r="O44" s="30" t="n"/>
      <c r="P44" s="30" t="n"/>
      <c r="Q44" s="30" t="n"/>
      <c r="R44" s="35" t="n"/>
      <c r="S44" s="35" t="n"/>
      <c r="T44" s="35" t="n"/>
      <c r="U44" s="35" t="n"/>
      <c r="V44" s="35" t="n"/>
      <c r="W44" s="35" t="n"/>
      <c r="X44" s="31" t="n"/>
      <c r="Y44" s="35" t="n"/>
      <c r="Z44" s="35" t="n"/>
      <c r="AA44" s="36" t="n"/>
      <c r="AB44" s="35" t="n"/>
      <c r="AC44" s="35" t="n"/>
      <c r="AD44" s="32" t="n"/>
      <c r="AE44" s="35" t="n"/>
      <c r="AF44" s="35" t="n"/>
      <c r="AG44" s="36" t="n"/>
      <c r="AH44" s="35" t="n"/>
      <c r="AI44" s="35" t="n"/>
      <c r="AJ44" s="34" t="n"/>
      <c r="AK44" s="35" t="n"/>
      <c r="AL44" s="35" t="n"/>
      <c r="AM44" s="36" t="n"/>
      <c r="AN44" s="35" t="n"/>
      <c r="AO44" s="35" t="n"/>
      <c r="AP44" s="34" t="n"/>
      <c r="AQ44" s="35" t="n"/>
      <c r="AR44" s="35" t="n"/>
      <c r="AS44" s="36" t="n"/>
      <c r="AT44" s="35" t="n"/>
      <c r="AU44" s="35" t="n"/>
    </row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87">
    <mergeCell ref="E5:G7"/>
    <mergeCell ref="H17:H19"/>
    <mergeCell ref="M21:M23"/>
    <mergeCell ref="L3:L4"/>
    <mergeCell ref="N5:P7"/>
    <mergeCell ref="M41:M43"/>
    <mergeCell ref="N33:P35"/>
    <mergeCell ref="A37:C39"/>
    <mergeCell ref="R3:W3"/>
    <mergeCell ref="A21:C23"/>
    <mergeCell ref="I3:I4"/>
    <mergeCell ref="Q41:Q43"/>
    <mergeCell ref="H5:H7"/>
    <mergeCell ref="A29:C31"/>
    <mergeCell ref="M5:M7"/>
    <mergeCell ref="H29:H31"/>
    <mergeCell ref="A13:C15"/>
    <mergeCell ref="Q33:Q35"/>
    <mergeCell ref="AD3:AI3"/>
    <mergeCell ref="E25:G27"/>
    <mergeCell ref="AP3:AU3"/>
    <mergeCell ref="H21:H23"/>
    <mergeCell ref="M25:M27"/>
    <mergeCell ref="Q3:Q4"/>
    <mergeCell ref="E17:G19"/>
    <mergeCell ref="I37:I39"/>
    <mergeCell ref="Q9:Q11"/>
    <mergeCell ref="I29:I31"/>
    <mergeCell ref="I13:I15"/>
    <mergeCell ref="M29:M31"/>
    <mergeCell ref="A1:AO1"/>
    <mergeCell ref="H33:H35"/>
    <mergeCell ref="N17:P19"/>
    <mergeCell ref="A5:C7"/>
    <mergeCell ref="N3:P4"/>
    <mergeCell ref="H25:H27"/>
    <mergeCell ref="N9:P11"/>
    <mergeCell ref="I41:I43"/>
    <mergeCell ref="E21:G23"/>
    <mergeCell ref="K3:K4"/>
    <mergeCell ref="I25:I27"/>
    <mergeCell ref="I33:I35"/>
    <mergeCell ref="I5:I7"/>
    <mergeCell ref="I17:I19"/>
    <mergeCell ref="A41:C43"/>
    <mergeCell ref="N37:P39"/>
    <mergeCell ref="X3:AC3"/>
    <mergeCell ref="M33:M35"/>
    <mergeCell ref="N21:P23"/>
    <mergeCell ref="H13:H15"/>
    <mergeCell ref="E3:G4"/>
    <mergeCell ref="A25:C27"/>
    <mergeCell ref="AJ3:AO3"/>
    <mergeCell ref="M17:M19"/>
    <mergeCell ref="Q17:Q19"/>
    <mergeCell ref="E9:G11"/>
    <mergeCell ref="M3:M4"/>
    <mergeCell ref="Q13:Q15"/>
    <mergeCell ref="N13:P15"/>
    <mergeCell ref="A17:C19"/>
    <mergeCell ref="M9:M11"/>
    <mergeCell ref="Q37:Q39"/>
    <mergeCell ref="Q21:Q23"/>
    <mergeCell ref="H3:H4"/>
    <mergeCell ref="J3:J4"/>
    <mergeCell ref="H9:H11"/>
    <mergeCell ref="E37:G39"/>
    <mergeCell ref="N41:P43"/>
    <mergeCell ref="N25:P27"/>
    <mergeCell ref="M13:M15"/>
    <mergeCell ref="E29:G31"/>
    <mergeCell ref="E13:G15"/>
    <mergeCell ref="H37:H39"/>
    <mergeCell ref="Q25:Q27"/>
    <mergeCell ref="N29:P31"/>
    <mergeCell ref="I9:I11"/>
    <mergeCell ref="A33:C35"/>
    <mergeCell ref="E41:G43"/>
    <mergeCell ref="A3:C4"/>
    <mergeCell ref="H41:H43"/>
    <mergeCell ref="Q5:Q7"/>
    <mergeCell ref="A2:AO2"/>
    <mergeCell ref="E33:G35"/>
    <mergeCell ref="A9:C11"/>
    <mergeCell ref="Q29:Q31"/>
    <mergeCell ref="I21:I23"/>
    <mergeCell ref="M37:M39"/>
  </mergeCells>
  <hyperlinks>
    <hyperlink xmlns:r="http://schemas.openxmlformats.org/officeDocument/2006/relationships" ref="N21" r:id="rId1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2026-09-09T05:40:09Z</dcterms:modified>
</cp:coreProperties>
</file>