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5"/>
  </sheets>
  <definedNames>
    <definedName hidden="1" localSheetId="0" name="_xlnm._FilterDatabase">Products!$A$5:$P$61</definedName>
  </definedNames>
  <calcPr/>
</workbook>
</file>

<file path=xl/sharedStrings.xml><?xml version="1.0" encoding="utf-8"?>
<sst xmlns="http://schemas.openxmlformats.org/spreadsheetml/2006/main" count="459" uniqueCount="196">
  <si>
    <t>Grillkliniken – Supplier Quotation Sheet</t>
  </si>
  <si>
    <t>Supplier: please fill in the YELLOW columns in USD. Total cost (USD) and Totalkostnad (SEK) are calculated automatically. Images load automatically (requires Excel 365 + internet) – use the image link otherwise.</t>
  </si>
  <si>
    <t>Exchange rate USD → SEK:</t>
  </si>
  <si>
    <t>Source: exchangerate-api.com, 2026-07-07 (editable)</t>
  </si>
  <si>
    <t>Image</t>
  </si>
  <si>
    <t>Product name</t>
  </si>
  <si>
    <t>Variant</t>
  </si>
  <si>
    <t>SKU</t>
  </si>
  <si>
    <t>Handle</t>
  </si>
  <si>
    <t>Description</t>
  </si>
  <si>
    <t>Status</t>
  </si>
  <si>
    <t>Retail price (SEK)</t>
  </si>
  <si>
    <t>Unit price (USD)</t>
  </si>
  <si>
    <t>Shipping cost (USD)</t>
  </si>
  <si>
    <t>Weight (kg)</t>
  </si>
  <si>
    <t>Total cost (USD)</t>
  </si>
  <si>
    <t>Totalkostnad (SEK)</t>
  </si>
  <si>
    <t>Note</t>
  </si>
  <si>
    <t>Product link</t>
  </si>
  <si>
    <t>Image link</t>
  </si>
  <si>
    <t>BBQ Grillborste Ultra</t>
  </si>
  <si>
    <t>—</t>
  </si>
  <si>
    <t>bbq-grillborste-ultra</t>
  </si>
  <si>
    <t>BBQ grill brush with durable steel bristles and a practical scraper for effective grill cleaning.</t>
  </si>
  <si>
    <t>Active</t>
  </si>
  <si>
    <t>View product</t>
  </si>
  <si>
    <t>View image</t>
  </si>
  <si>
    <t>BBQ – Redskapsset för Grillen 3, 5 eller 9 delar</t>
  </si>
  <si>
    <t>3 pcs - To Go</t>
  </si>
  <si>
    <t>20595#KZ1777274381-3-PieceSet</t>
  </si>
  <si>
    <t>bbq-redskapsset-for-grillen</t>
  </si>
  <si>
    <t>BBQ tool set in stainless steel, packed in a carry bag. Available in 3, 5 or 9 pieces.</t>
  </si>
  <si>
    <t>5 pcs - Amateur</t>
  </si>
  <si>
    <t>20595#KZ1777274381-5-PieceSet</t>
  </si>
  <si>
    <t>9 pcs - Grill Master</t>
  </si>
  <si>
    <t>20595#KZ1777274381-9-PieceSet</t>
  </si>
  <si>
    <t>Borst + PolérHuvud</t>
  </si>
  <si>
    <t>borst-poler-huvud</t>
  </si>
  <si>
    <t>Brush + polishing head set (accessory for the Mastern electric grill brush).</t>
  </si>
  <si>
    <t>Borsthuvud</t>
  </si>
  <si>
    <t>borst-huvud</t>
  </si>
  <si>
    <t>Replacement brush head (accessory for the Mastern electric grill brush).</t>
  </si>
  <si>
    <t>Unlisted</t>
  </si>
  <si>
    <t>This product is not only for sale</t>
  </si>
  <si>
    <t>Brush Safe Huvud</t>
  </si>
  <si>
    <t>polerhuvud</t>
  </si>
  <si>
    <t>Brush Safe / polishing head (accessory for the Mastern electric grill brush).</t>
  </si>
  <si>
    <t>Flipgrill</t>
  </si>
  <si>
    <t>flipgrill</t>
  </si>
  <si>
    <t>Flip grill.</t>
  </si>
  <si>
    <t>The item is too large and exceeds the size limit, incurring an additional charge. The total price is $122.40.</t>
  </si>
  <si>
    <t>Förkläde - Enormt tränad man</t>
  </si>
  <si>
    <t>forklade-enormt-tranad-man</t>
  </si>
  <si>
    <t>Humorous apron with an extremely muscular body print. Great gag gift.</t>
  </si>
  <si>
    <t>Förkläde - Grill Master</t>
  </si>
  <si>
    <t>forklade-grill-master</t>
  </si>
  <si>
    <t>Black apron with the text "Grill Master – The Man, The Myth, The Legend".</t>
  </si>
  <si>
    <t>Förkläde - Kiss and bring him beer</t>
  </si>
  <si>
    <t>forklade-kiss-and-bring-him-beer</t>
  </si>
  <si>
    <t>BBQ apron with the text "Kiss and bring him beer".</t>
  </si>
  <si>
    <t>Förkläde - Kvinna i bikini</t>
  </si>
  <si>
    <t>forklade-kvinna-i-bikini</t>
  </si>
  <si>
    <t>Fun summer apron with a bikini body print.</t>
  </si>
  <si>
    <t>Förkläde - MC knutt</t>
  </si>
  <si>
    <t>forklade-mc-knutt</t>
  </si>
  <si>
    <t>Biker-style apron for the grilling motorcycle enthusiast.</t>
  </si>
  <si>
    <t>Förkläde - Ölmage</t>
  </si>
  <si>
    <t>forklade-olmage</t>
  </si>
  <si>
    <t>Funny apron that looks like a real beer belly.</t>
  </si>
  <si>
    <t>Förkläde - Premium Läder</t>
  </si>
  <si>
    <t>Brown</t>
  </si>
  <si>
    <t>20595#AB1781058563-brown</t>
  </si>
  <si>
    <t>forklade-lader</t>
  </si>
  <si>
    <t>Premium apron in genuine leather – function and style at the grill or bar.</t>
  </si>
  <si>
    <t>Black</t>
  </si>
  <si>
    <t>20595#AB1781058563-black</t>
  </si>
  <si>
    <t>Förkläde - Sailor Moon</t>
  </si>
  <si>
    <t>forklade-sailor-moon</t>
  </si>
  <si>
    <t>Colorful apron with Sailor Moon design.</t>
  </si>
  <si>
    <t>Förklade - Slitstarkt, flera färger</t>
  </si>
  <si>
    <t>forklade-slitstarkt-flera-farger</t>
  </si>
  <si>
    <t>Durable heavy-duty apron for grilling, kitchen and workshop. Multiple colors.</t>
  </si>
  <si>
    <t>Blue</t>
  </si>
  <si>
    <t>Grey</t>
  </si>
  <si>
    <t>Förkläde - The Grillfather</t>
  </si>
  <si>
    <t>forklade-the-grillfather</t>
  </si>
  <si>
    <t>Apron with the text "The Grillfather" – practical and fun.</t>
  </si>
  <si>
    <t>Förkläde - Tränad manlig kropp</t>
  </si>
  <si>
    <t>forklade-tranad-manlig-kropp</t>
  </si>
  <si>
    <t>Fun apron with a fit male body print.</t>
  </si>
  <si>
    <t>Förkläde – MästerKOCK</t>
  </si>
  <si>
    <t>forklade-masterkock</t>
  </si>
  <si>
    <t>Playful apron for the self-proclaimed grill master.</t>
  </si>
  <si>
    <t>Garanti för säker frakt</t>
  </si>
  <si>
    <t>garanti-for-saker-frakt</t>
  </si>
  <si>
    <t>Shipping protection (service, not a physical product).</t>
  </si>
  <si>
    <t>Greatgrill</t>
  </si>
  <si>
    <t>No handle</t>
  </si>
  <si>
    <t>roterande-grillkorg-i-rostfritt-stal-perfekt-for-gronsaker-kott-tillbehor</t>
  </si>
  <si>
    <t>Rotating stainless steel grill basket – perfect for vegetables, meat and sides.</t>
  </si>
  <si>
    <t>size similar</t>
  </si>
  <si>
    <t>With handle</t>
  </si>
  <si>
    <t>Grillblåsaren Turbo</t>
  </si>
  <si>
    <t>grillblasaren-turbo</t>
  </si>
  <si>
    <t>BBQ blower – gets the coals going fast without lighter fluid.</t>
  </si>
  <si>
    <t>With bag</t>
  </si>
  <si>
    <t>Grillborste – Lätt &amp; enkel</t>
  </si>
  <si>
    <t>stalborste-for-grill</t>
  </si>
  <si>
    <t>Light and simple steel brush for easy grill cleaning.</t>
  </si>
  <si>
    <t>28*15cm</t>
  </si>
  <si>
    <t>Grillklubbor - Golf Grill Kit</t>
  </si>
  <si>
    <t>Green</t>
  </si>
  <si>
    <t>20595#DZ1775027907-green</t>
  </si>
  <si>
    <t>golf-grill-kit</t>
  </si>
  <si>
    <t>BBQ tool set styled as golf clubs in a golf bag – the gift every golfer wants.</t>
  </si>
  <si>
    <t>20595#DZ1775027907-black</t>
  </si>
  <si>
    <t>Grillplatta / Stekbord i rostfritt stål</t>
  </si>
  <si>
    <t>stekbord</t>
  </si>
  <si>
    <t>Sturdy stainless steel griddle – meat, vegetables, smash burgers and more.</t>
  </si>
  <si>
    <t>43*32.5*5.6CM</t>
  </si>
  <si>
    <t>Grillrengöringsspray</t>
  </si>
  <si>
    <t>grillrengoringsspray</t>
  </si>
  <si>
    <t>Grill cleaning spray.</t>
  </si>
  <si>
    <t>Grillrengöringssten</t>
  </si>
  <si>
    <t>grillrengoringssten</t>
  </si>
  <si>
    <t>Grill cleaning stone – removes burnt-on residue and grease without damaging the grate.</t>
  </si>
  <si>
    <t>10*7*4cm</t>
  </si>
  <si>
    <t>Grillspett Premium 6 Pack</t>
  </si>
  <si>
    <t>grillspett-premium-rostfritt-stal</t>
  </si>
  <si>
    <t>6 sturdy stainless steel skewers with wooden handles.</t>
  </si>
  <si>
    <t>Grilltänger – Flera storlekar</t>
  </si>
  <si>
    <t>39cm Red</t>
  </si>
  <si>
    <t>20595#AS1778227407-red-39cm</t>
  </si>
  <si>
    <t>grilltanger</t>
  </si>
  <si>
    <t>BBQ tongs with silicone tips, ergonomic non-slip handle, dishwasher safe.</t>
  </si>
  <si>
    <t>34cm Red</t>
  </si>
  <si>
    <t>20595#AS1778227407-red-12</t>
  </si>
  <si>
    <t>27cm Red</t>
  </si>
  <si>
    <t>20595#AS1778227407-red-9</t>
  </si>
  <si>
    <t>39cm Black</t>
  </si>
  <si>
    <t>20595#AS1778227407-black-39cm</t>
  </si>
  <si>
    <t>34cm Black</t>
  </si>
  <si>
    <t>20595#AS1778227407-black-34cm</t>
  </si>
  <si>
    <t>27cm Black</t>
  </si>
  <si>
    <t>20595#AS1778227407-black-27cm</t>
  </si>
  <si>
    <t>Hamburgerpress i gjutjärn</t>
  </si>
  <si>
    <t>hamburgerpress-i-gjutjarn</t>
  </si>
  <si>
    <t>Cast iron burger press – perfect burgers every time.</t>
  </si>
  <si>
    <t>Knivset 6-pack – Premium</t>
  </si>
  <si>
    <t>6-pack-knivset</t>
  </si>
  <si>
    <t>6 kitchen knives in 7CR17 stainless steel with Damascus-inspired design.</t>
  </si>
  <si>
    <t>I need the size of every knife</t>
  </si>
  <si>
    <t>Knivslip 4-stegs</t>
  </si>
  <si>
    <t>knivsliop</t>
  </si>
  <si>
    <t>4-stage knife sharpener with scissor slot and non-slip base.</t>
  </si>
  <si>
    <t>KorvGubben</t>
  </si>
  <si>
    <t>korvgubben</t>
  </si>
  <si>
    <t>Fun sausage holder for grill and open fire.</t>
  </si>
  <si>
    <t>similar</t>
  </si>
  <si>
    <t>Majskolvshållare - 10 Pack</t>
  </si>
  <si>
    <t>majskolvshallare-10-pack</t>
  </si>
  <si>
    <t>Corn cob holders, 10 pack – no more sticky hands.</t>
  </si>
  <si>
    <t>without box</t>
  </si>
  <si>
    <t>Mastern - Hela Mastern Kittet</t>
  </si>
  <si>
    <t>mastern-hela-mastern-kittet</t>
  </si>
  <si>
    <t>Complete Mastern kit (electric grill brush + accessories).</t>
  </si>
  <si>
    <t>Mastern — Elektrisk grillborste</t>
  </si>
  <si>
    <t>elektrisk-grillborste</t>
  </si>
  <si>
    <t>Electric grill brush – a shiny grate without scrubbing.</t>
  </si>
  <si>
    <t>Polérhuvud</t>
  </si>
  <si>
    <t>polerhuvud-1</t>
  </si>
  <si>
    <t>Polishing head (accessory for the Mastern electric grill brush).</t>
  </si>
  <si>
    <t>Portabel Utomhusgrill</t>
  </si>
  <si>
    <t>Large</t>
  </si>
  <si>
    <t>portabel-utomhusgrill</t>
  </si>
  <si>
    <t>Portable outdoor grill for camping, picnics, beach and balcony. Two sizes.</t>
  </si>
  <si>
    <t>Tomorrow</t>
  </si>
  <si>
    <t>Small</t>
  </si>
  <si>
    <t>Potatisskruv skärare</t>
  </si>
  <si>
    <t>potatisskruv-skarare</t>
  </si>
  <si>
    <t>Potato spiral cutter – make chips and spirals easily.</t>
  </si>
  <si>
    <t>with opp bag</t>
  </si>
  <si>
    <t>Premium Biffknivar 6-pack</t>
  </si>
  <si>
    <t>premium-biffknivar-i-rostfritt-stal-6-pack-med-elegant-forvaringslada</t>
  </si>
  <si>
    <t>Stainless steel steak knives with serrated edge, elegant storage box.</t>
  </si>
  <si>
    <t>Premium Grill- &amp; Smashburger Kit – 25 delar</t>
  </si>
  <si>
    <t>aa</t>
  </si>
  <si>
    <t>Complete 25-piece stainless steel set with accessories and storage bag.</t>
  </si>
  <si>
    <t>Skärbräda i ändträ – Premium valnötsträ</t>
  </si>
  <si>
    <t>skarbrada-i-andtra-premium-valnotstra-36-x-24-x-2-5-cm</t>
  </si>
  <si>
    <t>Premium end-grain cutting board in solid walnut, 36 x 24 x 2.5 cm.</t>
  </si>
  <si>
    <t>38*28*1.8cm</t>
  </si>
  <si>
    <t>Skyddshandskar</t>
  </si>
  <si>
    <t>skyddshandskar</t>
  </si>
  <si>
    <t>Protective gloves (accessory for the Mastern electric grill brush).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</si>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</sst>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"/>
    <numFmt numFmtId="165" formatCode="$#,##0.00"/>
    <numFmt numFmtId="166" formatCode="#,##0.00 &quot;kr&quot;"/>
  </numFmts>
  <fonts count="14">
    <font>
      <sz val="11.0"/>
      <color theme="1"/>
      <name val="Calibri"/>
      <scheme val="minor"/>
    </font>
    <font>
      <b/>
      <sz val="14.0"/>
      <color theme="1"/>
      <name val="Arial"/>
    </font>
    <font>
      <i/>
      <sz val="9.0"/>
      <color rgb="FF6B7280"/>
      <name val="Arial"/>
    </font>
    <font>
      <b/>
      <sz val="10.0"/>
      <color theme="1"/>
      <name val="Arial"/>
    </font>
    <font>
      <b/>
      <sz val="10.0"/>
      <color rgb="FF0000FF"/>
      <name val="Arial"/>
    </font>
    <font>
      <b/>
      <sz val="10.0"/>
      <color rgb="FFFFFFFF"/>
      <name val="Arial"/>
    </font>
    <font>
      <sz val="11.0"/>
      <color theme="1"/>
      <name val="Calibri"/>
    </font>
    <font>
      <u/>
      <sz val="9.0"/>
      <color rgb="FF2563EB"/>
      <name val="Arial"/>
    </font>
    <font>
      <u/>
      <sz val="9.0"/>
      <color rgb="FF2563EB"/>
      <name val="Arial"/>
    </font>
    <font/>
    <font>
      <u/>
      <sz val="9.0"/>
      <color rgb="FF2563EB"/>
      <name val="Arial"/>
    </font>
    <font>
      <u/>
      <sz val="9.0"/>
      <color rgb="FF2563EB"/>
      <name val="Arial"/>
    </font>
    <font>
      <u/>
      <sz val="9.0"/>
      <color rgb="FF2563EB"/>
      <name val="Arial"/>
    </font>
    <font>
      <u/>
      <sz val="9.0"/>
      <color rgb="FF2563EB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3CD"/>
        <bgColor rgb="FFFFF3CD"/>
      </patternFill>
    </fill>
    <fill>
      <patternFill patternType="solid">
        <fgColor rgb="FF1F2937"/>
        <bgColor rgb="FF1F2937"/>
      </patternFill>
    </fill>
    <fill>
      <patternFill patternType="solid">
        <fgColor rgb="FFDBEAFE"/>
        <bgColor rgb="FFDBEAFE"/>
      </patternFill>
    </fill>
    <fill>
      <patternFill patternType="solid">
        <fgColor rgb="FFF3F4F6"/>
        <bgColor rgb="FFF3F4F6"/>
      </patternFill>
    </fill>
  </fills>
  <borders count="6">
    <border/>
    <border>
      <left/>
      <right/>
      <top/>
      <bottom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right style="thin">
        <color rgb="FFD1D5DB"/>
      </right>
      <top style="thin">
        <color rgb="FFD1D5DB"/>
      </top>
    </border>
    <border>
      <left style="thin">
        <color rgb="FFD1D5DB"/>
      </left>
      <right style="thin">
        <color rgb="FFD1D5DB"/>
      </right>
    </border>
    <border>
      <left style="thin">
        <color rgb="FFD1D5DB"/>
      </left>
      <right style="thin">
        <color rgb="FFD1D5DB"/>
      </right>
      <bottom style="thin">
        <color rgb="FFD1D5DB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164" xfId="0" applyBorder="1" applyFill="1" applyFont="1" applyNumberFormat="1"/>
    <xf borderId="2" fillId="3" fontId="5" numFmtId="0" xfId="0" applyAlignment="1" applyBorder="1" applyFill="1" applyFont="1">
      <alignment horizontal="center" shrinkToFit="0" vertical="center" wrapText="1"/>
    </xf>
    <xf borderId="2" fillId="3" fontId="5" numFmtId="0" xfId="0" applyAlignment="1" applyBorder="1" applyFont="1">
      <alignment horizontal="center" readingOrder="0" shrinkToFit="0" vertical="center" wrapText="1"/>
    </xf>
    <xf borderId="2" fillId="0" fontId="6" numFmtId="0" xfId="0" applyAlignment="1" applyBorder="1" applyFont="1">
      <alignment horizontal="center" vertical="center"/>
    </xf>
    <xf borderId="2" fillId="0" fontId="6" numFmtId="0" xfId="0" applyAlignment="1" applyBorder="1" applyFont="1">
      <alignment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left" shrinkToFit="0" vertical="center" wrapText="1"/>
    </xf>
    <xf borderId="2" fillId="0" fontId="6" numFmtId="4" xfId="0" applyAlignment="1" applyBorder="1" applyFont="1" applyNumberFormat="1">
      <alignment horizontal="center" vertical="center"/>
    </xf>
    <xf borderId="2" fillId="2" fontId="6" numFmtId="4" xfId="0" applyAlignment="1" applyBorder="1" applyFont="1" applyNumberFormat="1">
      <alignment horizontal="center" readingOrder="0" vertical="center"/>
    </xf>
    <xf borderId="2" fillId="0" fontId="6" numFmtId="165" xfId="0" applyAlignment="1" applyBorder="1" applyFont="1" applyNumberFormat="1">
      <alignment horizontal="center" readingOrder="0" vertical="center"/>
    </xf>
    <xf borderId="2" fillId="4" fontId="6" numFmtId="166" xfId="0" applyAlignment="1" applyBorder="1" applyFill="1" applyFont="1" applyNumberFormat="1">
      <alignment horizontal="center" vertical="center"/>
    </xf>
    <xf borderId="2" fillId="0" fontId="7" numFmtId="0" xfId="0" applyAlignment="1" applyBorder="1" applyFont="1">
      <alignment horizontal="center" vertical="center"/>
    </xf>
    <xf borderId="3" fillId="5" fontId="6" numFmtId="0" xfId="0" applyAlignment="1" applyBorder="1" applyFill="1" applyFont="1">
      <alignment horizontal="center" vertical="center"/>
    </xf>
    <xf borderId="2" fillId="5" fontId="6" numFmtId="0" xfId="0" applyAlignment="1" applyBorder="1" applyFont="1">
      <alignment shrinkToFit="0" vertical="center" wrapText="1"/>
    </xf>
    <xf borderId="2" fillId="5" fontId="6" numFmtId="0" xfId="0" applyAlignment="1" applyBorder="1" applyFont="1">
      <alignment horizontal="center" shrinkToFit="0" vertical="center" wrapText="1"/>
    </xf>
    <xf borderId="2" fillId="5" fontId="6" numFmtId="0" xfId="0" applyAlignment="1" applyBorder="1" applyFont="1">
      <alignment horizontal="left" shrinkToFit="0" vertical="center" wrapText="1"/>
    </xf>
    <xf borderId="2" fillId="5" fontId="6" numFmtId="0" xfId="0" applyAlignment="1" applyBorder="1" applyFont="1">
      <alignment horizontal="center" vertical="center"/>
    </xf>
    <xf borderId="2" fillId="5" fontId="6" numFmtId="4" xfId="0" applyAlignment="1" applyBorder="1" applyFont="1" applyNumberFormat="1">
      <alignment horizontal="center" vertical="center"/>
    </xf>
    <xf borderId="2" fillId="5" fontId="6" numFmtId="165" xfId="0" applyAlignment="1" applyBorder="1" applyFont="1" applyNumberFormat="1">
      <alignment horizontal="center" vertical="center"/>
    </xf>
    <xf borderId="3" fillId="5" fontId="8" numFmtId="0" xfId="0" applyAlignment="1" applyBorder="1" applyFont="1">
      <alignment horizontal="center" vertical="center"/>
    </xf>
    <xf borderId="4" fillId="0" fontId="9" numFmtId="0" xfId="0" applyBorder="1" applyFont="1"/>
    <xf borderId="5" fillId="0" fontId="9" numFmtId="0" xfId="0" applyBorder="1" applyFont="1"/>
    <xf borderId="2" fillId="0" fontId="6" numFmtId="165" xfId="0" applyAlignment="1" applyBorder="1" applyFont="1" applyNumberFormat="1">
      <alignment horizontal="center" vertical="center"/>
    </xf>
    <xf borderId="2" fillId="2" fontId="6" numFmtId="4" xfId="0" applyAlignment="1" applyBorder="1" applyFont="1" applyNumberFormat="1">
      <alignment horizontal="center" vertical="center"/>
    </xf>
    <xf borderId="2" fillId="4" fontId="6" numFmtId="166" xfId="0" applyAlignment="1" applyBorder="1" applyFont="1" applyNumberFormat="1">
      <alignment horizontal="center" readingOrder="0" vertical="center"/>
    </xf>
    <xf borderId="2" fillId="5" fontId="10" numFmtId="0" xfId="0" applyAlignment="1" applyBorder="1" applyFont="1">
      <alignment horizontal="center" vertical="center"/>
    </xf>
    <xf borderId="3" fillId="0" fontId="6" numFmtId="0" xfId="0" applyAlignment="1" applyBorder="1" applyFont="1">
      <alignment horizontal="center" vertical="center"/>
    </xf>
    <xf borderId="3" fillId="0" fontId="11" numFmtId="0" xfId="0" applyAlignment="1" applyBorder="1" applyFont="1">
      <alignment horizontal="center" vertical="center"/>
    </xf>
    <xf borderId="3" fillId="5" fontId="12" numFmtId="0" xfId="0" applyAlignment="1" applyBorder="1" applyFont="1">
      <alignment horizontal="center" readingOrder="0" vertical="center"/>
    </xf>
    <xf borderId="2" fillId="5" fontId="13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cdn.shopify.com/s/files/1/0947/0174/8548/files/1f94e684-868c-4e1d-a08d-9134d47252c8_720x720_0dda0830-c49d-40f6-8a45-36898d34c299.webp?v=1758558936" TargetMode="External"/><Relationship Id="rId84" Type="http://schemas.openxmlformats.org/officeDocument/2006/relationships/hyperlink" Target="https://cdn.shopify.com/s/files/1/0947/0174/8548/files/CharBreaker_Accessories_2.webp?v=1776973240" TargetMode="External"/><Relationship Id="rId83" Type="http://schemas.openxmlformats.org/officeDocument/2006/relationships/hyperlink" Target="https://grillkliniken.se/products/skyddshandskar" TargetMode="External"/><Relationship Id="rId42" Type="http://schemas.openxmlformats.org/officeDocument/2006/relationships/hyperlink" Target="https://cdn.shopify.com/s/files/1/0947/0174/8548/files/WhatsAppBild2025-09-08kl.11.11.14_4e3fcdca.jpg?v=1758119997" TargetMode="External"/><Relationship Id="rId41" Type="http://schemas.openxmlformats.org/officeDocument/2006/relationships/hyperlink" Target="https://grillkliniken.se/products/grillblasaren-turbo" TargetMode="External"/><Relationship Id="rId85" Type="http://schemas.openxmlformats.org/officeDocument/2006/relationships/drawing" Target="../drawings/drawing1.xml"/><Relationship Id="rId44" Type="http://schemas.openxmlformats.org/officeDocument/2006/relationships/hyperlink" Target="https://cdn.shopify.com/s/files/1/0947/0174/8548/files/WhatsAppBild2025-09-05kl.09.39.33_08e2af64.jpg?v=1758036721" TargetMode="External"/><Relationship Id="rId43" Type="http://schemas.openxmlformats.org/officeDocument/2006/relationships/hyperlink" Target="https://grillkliniken.se/products/stalborste-for-grill" TargetMode="External"/><Relationship Id="rId46" Type="http://schemas.openxmlformats.org/officeDocument/2006/relationships/hyperlink" Target="https://cdn.shopify.com/s/files/1/0947/0174/8548/files/WhatsAppImage2026-03-31at11.40.58_1.jpg?v=1774962165" TargetMode="External"/><Relationship Id="rId45" Type="http://schemas.openxmlformats.org/officeDocument/2006/relationships/hyperlink" Target="https://grillkliniken.se/products/golf-grill-kit" TargetMode="External"/><Relationship Id="rId80" Type="http://schemas.openxmlformats.org/officeDocument/2006/relationships/hyperlink" Target="https://cdn.shopify.com/s/files/1/0947/0174/8548/files/WhatsAppBild2025-09-24kl.11.00.29_72c83fe4.jpg?v=1758732238" TargetMode="External"/><Relationship Id="rId82" Type="http://schemas.openxmlformats.org/officeDocument/2006/relationships/hyperlink" Target="https://cdn.shopify.com/s/files/1/0947/0174/8548/files/S1ab856b82e9b4061b7d344171f2cf5c2x_jpg_960x960q75_jpg.avif?v=1758731860" TargetMode="External"/><Relationship Id="rId81" Type="http://schemas.openxmlformats.org/officeDocument/2006/relationships/hyperlink" Target="https://grillkliniken.se/products/skarbrada-i-andtra-premium-valnotstra-36-x-24-x-2-5-cm" TargetMode="External"/><Relationship Id="rId1" Type="http://schemas.openxmlformats.org/officeDocument/2006/relationships/hyperlink" Target="https://grillkliniken.se/products/bbq-grillborste-ultra" TargetMode="External"/><Relationship Id="rId2" Type="http://schemas.openxmlformats.org/officeDocument/2006/relationships/hyperlink" Target="https://cdn.shopify.com/s/files/1/0947/0174/8548/files/Namnlosdesign-2025-09-17T160340.413.png?v=1758117841" TargetMode="External"/><Relationship Id="rId3" Type="http://schemas.openxmlformats.org/officeDocument/2006/relationships/hyperlink" Target="https://grillkliniken.se/products/bbq-redskapsset-for-grillen" TargetMode="External"/><Relationship Id="rId4" Type="http://schemas.openxmlformats.org/officeDocument/2006/relationships/hyperlink" Target="https://cdn.shopify.com/s/files/1/0947/0174/8548/files/9Redskap.png?v=1758044867" TargetMode="External"/><Relationship Id="rId9" Type="http://schemas.openxmlformats.org/officeDocument/2006/relationships/hyperlink" Target="https://grillkliniken.se/products/polerhuvud" TargetMode="External"/><Relationship Id="rId48" Type="http://schemas.openxmlformats.org/officeDocument/2006/relationships/hyperlink" Target="https://cdn.shopify.com/s/files/1/0947/0174/8548/files/WhatsAppBild2025-09-04kl.05.38.37_38c79b81.jpg?v=1758043146" TargetMode="External"/><Relationship Id="rId47" Type="http://schemas.openxmlformats.org/officeDocument/2006/relationships/hyperlink" Target="https://grillkliniken.se/products/stekbord" TargetMode="External"/><Relationship Id="rId49" Type="http://schemas.openxmlformats.org/officeDocument/2006/relationships/hyperlink" Target="https://grillkliniken.se/products/grillrengoringsspray" TargetMode="External"/><Relationship Id="rId5" Type="http://schemas.openxmlformats.org/officeDocument/2006/relationships/hyperlink" Target="https://grillkliniken.se/products/borst-poler-huvud" TargetMode="External"/><Relationship Id="rId6" Type="http://schemas.openxmlformats.org/officeDocument/2006/relationships/hyperlink" Target="https://cdn.shopify.com/s/files/1/0947/0174/8548/files/hf_20260511_034602_3ce2d7ec-70ac-47a7-a49d-d5a7e53f8c79.png?v=1778471437" TargetMode="External"/><Relationship Id="rId7" Type="http://schemas.openxmlformats.org/officeDocument/2006/relationships/hyperlink" Target="https://grillkliniken.se/products/borst-huvud" TargetMode="External"/><Relationship Id="rId8" Type="http://schemas.openxmlformats.org/officeDocument/2006/relationships/hyperlink" Target="https://cdn.shopify.com/s/files/1/0947/0174/8548/files/CharBreaker_Accessories_1.webp?v=1776973079" TargetMode="External"/><Relationship Id="rId73" Type="http://schemas.openxmlformats.org/officeDocument/2006/relationships/hyperlink" Target="https://grillkliniken.se/products/portabel-utomhusgrill" TargetMode="External"/><Relationship Id="rId72" Type="http://schemas.openxmlformats.org/officeDocument/2006/relationships/hyperlink" Target="https://cdn.shopify.com/s/files/1/0947/0174/8548/files/CharBreaker_Accessories_3_4.jpg?v=1779438702" TargetMode="External"/><Relationship Id="rId31" Type="http://schemas.openxmlformats.org/officeDocument/2006/relationships/hyperlink" Target="https://grillkliniken.se/products/forklade-the-grillfather" TargetMode="External"/><Relationship Id="rId75" Type="http://schemas.openxmlformats.org/officeDocument/2006/relationships/hyperlink" Target="https://grillkliniken.se/products/potatisskruv-skarare" TargetMode="External"/><Relationship Id="rId30" Type="http://schemas.openxmlformats.org/officeDocument/2006/relationships/hyperlink" Target="https://cdn.shopify.com/s/files/1/0947/0174/8548/files/WhatsAppBild2025-09-10kl.09.59.41_e6a3910c.jpg?v=1758264164" TargetMode="External"/><Relationship Id="rId74" Type="http://schemas.openxmlformats.org/officeDocument/2006/relationships/hyperlink" Target="https://cdn.shopify.com/s/files/1/0947/0174/8548/files/Stor.png?v=1758044306" TargetMode="External"/><Relationship Id="rId33" Type="http://schemas.openxmlformats.org/officeDocument/2006/relationships/hyperlink" Target="https://grillkliniken.se/products/forklade-tranad-manlig-kropp" TargetMode="External"/><Relationship Id="rId77" Type="http://schemas.openxmlformats.org/officeDocument/2006/relationships/hyperlink" Target="https://grillkliniken.se/products/premium-biffknivar-i-rostfritt-stal-6-pack-med-elegant-forvaringslada" TargetMode="External"/><Relationship Id="rId32" Type="http://schemas.openxmlformats.org/officeDocument/2006/relationships/hyperlink" Target="https://cdn.shopify.com/s/files/1/0947/0174/8548/files/WhatsAppBild2025-09-09kl.11.43.40_035096ac.jpg?v=1758263561" TargetMode="External"/><Relationship Id="rId76" Type="http://schemas.openxmlformats.org/officeDocument/2006/relationships/hyperlink" Target="https://cdn.shopify.com/s/files/1/0947/0174/8548/files/2469514bf9b748d7df2c5cefc6f83c271749711533850.webp?v=1758042819" TargetMode="External"/><Relationship Id="rId35" Type="http://schemas.openxmlformats.org/officeDocument/2006/relationships/hyperlink" Target="https://grillkliniken.se/products/forklade-masterkock" TargetMode="External"/><Relationship Id="rId79" Type="http://schemas.openxmlformats.org/officeDocument/2006/relationships/hyperlink" Target="https://grillkliniken.se/products/aa" TargetMode="External"/><Relationship Id="rId34" Type="http://schemas.openxmlformats.org/officeDocument/2006/relationships/hyperlink" Target="https://cdn.shopify.com/s/files/1/0947/0174/8548/files/WhatsAppBild2025-09-10kl.09.58.33_52519e32.jpg?v=1758263848" TargetMode="External"/><Relationship Id="rId78" Type="http://schemas.openxmlformats.org/officeDocument/2006/relationships/hyperlink" Target="https://cdn.shopify.com/s/files/1/0947/0174/8548/files/WhatsAppBild2025-09-23kl.10.56.25_61a4d106.jpg?v=1758645049" TargetMode="External"/><Relationship Id="rId71" Type="http://schemas.openxmlformats.org/officeDocument/2006/relationships/hyperlink" Target="https://grillkliniken.se/products/polerhuvud-1" TargetMode="External"/><Relationship Id="rId70" Type="http://schemas.openxmlformats.org/officeDocument/2006/relationships/hyperlink" Target="https://cdn.shopify.com/s/files/1/0947/0174/8548/files/Namnlosdesign-2026-07-06T113034.467.png?v=1783330270" TargetMode="External"/><Relationship Id="rId37" Type="http://schemas.openxmlformats.org/officeDocument/2006/relationships/hyperlink" Target="https://grillkliniken.se/products/garanti-for-saker-frakt" TargetMode="External"/><Relationship Id="rId36" Type="http://schemas.openxmlformats.org/officeDocument/2006/relationships/hyperlink" Target="https://cdn.shopify.com/s/files/1/0947/0174/8548/files/a53fd91a-40f2-499f-b15d-c64edba8baa9_800x_775b3cd8-81dc-4760-90e9-2fff40e6058e.webp?v=1778567372" TargetMode="External"/><Relationship Id="rId39" Type="http://schemas.openxmlformats.org/officeDocument/2006/relationships/hyperlink" Target="https://grillkliniken.se/products/roterande-grillkorg-i-rostfritt-stal-perfekt-for-gronsaker-kott-tillbehor" TargetMode="External"/><Relationship Id="rId38" Type="http://schemas.openxmlformats.org/officeDocument/2006/relationships/hyperlink" Target="https://cdn.shopify.com/s/files/1/0947/0174/8548/files/shipping-protection_2.png?v=1776928633" TargetMode="External"/><Relationship Id="rId62" Type="http://schemas.openxmlformats.org/officeDocument/2006/relationships/hyperlink" Target="https://cdn.shopify.com/s/files/1/0947/0174/8548/files/Sefb570aeeb1c4dedbb40290123be240f3_jpg_960x960q75_jpg.avif?v=1758563527" TargetMode="External"/><Relationship Id="rId61" Type="http://schemas.openxmlformats.org/officeDocument/2006/relationships/hyperlink" Target="https://grillkliniken.se/products/knivsliop" TargetMode="External"/><Relationship Id="rId20" Type="http://schemas.openxmlformats.org/officeDocument/2006/relationships/hyperlink" Target="https://cdn.shopify.com/s/files/1/0947/0174/8548/files/WhatsAppBild2025-09-10kl.09.58.33_1f58d59d.jpg?v=1758263968" TargetMode="External"/><Relationship Id="rId64" Type="http://schemas.openxmlformats.org/officeDocument/2006/relationships/hyperlink" Target="https://cdn.shopify.com/s/files/1/0947/0174/8548/files/3-pack-roliga-korvgrillverktyg-i-rostfritt-stal-korvhallare-roliga-grilltillbehor-grillgaffel-for-camping-utomhuspicknick-tradgard-kok.webp?v=1758037039" TargetMode="External"/><Relationship Id="rId63" Type="http://schemas.openxmlformats.org/officeDocument/2006/relationships/hyperlink" Target="https://grillkliniken.se/products/korvgubben" TargetMode="External"/><Relationship Id="rId22" Type="http://schemas.openxmlformats.org/officeDocument/2006/relationships/hyperlink" Target="https://cdn.shopify.com/s/files/1/0947/0174/8548/files/WhatsAppBild2025-09-10kl.10.01.21_5043bbad.jpg?v=1758264987" TargetMode="External"/><Relationship Id="rId66" Type="http://schemas.openxmlformats.org/officeDocument/2006/relationships/hyperlink" Target="https://cdn.shopify.com/s/files/1/0947/0174/8548/files/12deef1e-4f95-4f42-a976-1fd736598cf3.jpg?v=1758127417" TargetMode="External"/><Relationship Id="rId21" Type="http://schemas.openxmlformats.org/officeDocument/2006/relationships/hyperlink" Target="https://grillkliniken.se/products/forklade-mc-knutt" TargetMode="External"/><Relationship Id="rId65" Type="http://schemas.openxmlformats.org/officeDocument/2006/relationships/hyperlink" Target="https://grillkliniken.se/products/majskolvshallare-10-pack" TargetMode="External"/><Relationship Id="rId24" Type="http://schemas.openxmlformats.org/officeDocument/2006/relationships/hyperlink" Target="https://cdn.shopify.com/s/files/1/0947/0174/8548/files/WhatsAppBild2025-09-09kl.11.42.13_d6f72c9b.jpg?v=1758214096" TargetMode="External"/><Relationship Id="rId68" Type="http://schemas.openxmlformats.org/officeDocument/2006/relationships/hyperlink" Target="https://cdn.shopify.com/s/files/1/0947/0174/8548/files/WhatsAppImage2026-04-13at10.08.29_1.jpg?v=1777031902" TargetMode="External"/><Relationship Id="rId23" Type="http://schemas.openxmlformats.org/officeDocument/2006/relationships/hyperlink" Target="https://grillkliniken.se/products/forklade-olmage" TargetMode="External"/><Relationship Id="rId67" Type="http://schemas.openxmlformats.org/officeDocument/2006/relationships/hyperlink" Target="https://grillkliniken.se/products/mastern-hela-mastern-kittet" TargetMode="External"/><Relationship Id="rId60" Type="http://schemas.openxmlformats.org/officeDocument/2006/relationships/hyperlink" Target="https://cdn.shopify.com/s/files/1/0947/0174/8548/files/WhatsAppBild2025-09-23kl.10.30.37_eefc6b56.jpg?v=1758731472" TargetMode="External"/><Relationship Id="rId26" Type="http://schemas.openxmlformats.org/officeDocument/2006/relationships/hyperlink" Target="https://cdn.shopify.com/s/files/1/0947/0174/8548/files/WhatsAppBild2025-09-09kl.11.41.31_4d39e2be.jpg?v=1758213741" TargetMode="External"/><Relationship Id="rId25" Type="http://schemas.openxmlformats.org/officeDocument/2006/relationships/hyperlink" Target="https://grillkliniken.se/products/forklade-lader" TargetMode="External"/><Relationship Id="rId69" Type="http://schemas.openxmlformats.org/officeDocument/2006/relationships/hyperlink" Target="https://grillkliniken.se/products/elektrisk-grillborste" TargetMode="External"/><Relationship Id="rId28" Type="http://schemas.openxmlformats.org/officeDocument/2006/relationships/hyperlink" Target="https://cdn.shopify.com/s/files/1/0947/0174/8548/files/WhatsAppBild2025-09-10kl.09.55.40_a2592290.jpg?v=1758263676" TargetMode="External"/><Relationship Id="rId27" Type="http://schemas.openxmlformats.org/officeDocument/2006/relationships/hyperlink" Target="https://grillkliniken.se/products/forklade-sailor-moon" TargetMode="External"/><Relationship Id="rId29" Type="http://schemas.openxmlformats.org/officeDocument/2006/relationships/hyperlink" Target="https://grillkliniken.se/products/forklade-slitstarkt-flera-farger" TargetMode="External"/><Relationship Id="rId51" Type="http://schemas.openxmlformats.org/officeDocument/2006/relationships/hyperlink" Target="https://grillkliniken.se/products/grillrengoringssten" TargetMode="External"/><Relationship Id="rId50" Type="http://schemas.openxmlformats.org/officeDocument/2006/relationships/hyperlink" Target="https://cdn.shopify.com/s/files/1/0947/0174/8548/files/Namnlosdesign_69.png?v=1778568260" TargetMode="External"/><Relationship Id="rId53" Type="http://schemas.openxmlformats.org/officeDocument/2006/relationships/hyperlink" Target="https://grillkliniken.se/products/grillspett-premium-rostfritt-stal" TargetMode="External"/><Relationship Id="rId52" Type="http://schemas.openxmlformats.org/officeDocument/2006/relationships/hyperlink" Target="https://cdn.shopify.com/s/files/1/0947/0174/8548/files/WhatsAppBild2025-09-02kl.10.41.05_430a469e.jpg?v=1758042659" TargetMode="External"/><Relationship Id="rId11" Type="http://schemas.openxmlformats.org/officeDocument/2006/relationships/hyperlink" Target="https://grillkliniken.se/products/flipgrill" TargetMode="External"/><Relationship Id="rId55" Type="http://schemas.openxmlformats.org/officeDocument/2006/relationships/hyperlink" Target="https://grillkliniken.se/products/grilltanger" TargetMode="External"/><Relationship Id="rId10" Type="http://schemas.openxmlformats.org/officeDocument/2006/relationships/hyperlink" Target="https://cdn.shopify.com/s/files/1/0947/0174/8548/files/CharBreaker_Accessories_3.jpg?v=1776973191" TargetMode="External"/><Relationship Id="rId54" Type="http://schemas.openxmlformats.org/officeDocument/2006/relationships/hyperlink" Target="https://cdn.shopify.com/s/files/1/0947/0174/8548/files/WhatsAppBild2025-09-04kl.08.57.25_54e53208.jpg?v=1758117449" TargetMode="External"/><Relationship Id="rId13" Type="http://schemas.openxmlformats.org/officeDocument/2006/relationships/hyperlink" Target="https://grillkliniken.se/products/forklade-enormt-tranad-man" TargetMode="External"/><Relationship Id="rId57" Type="http://schemas.openxmlformats.org/officeDocument/2006/relationships/hyperlink" Target="https://grillkliniken.se/products/hamburgerpress-i-gjutjarn" TargetMode="External"/><Relationship Id="rId12" Type="http://schemas.openxmlformats.org/officeDocument/2006/relationships/hyperlink" Target="https://cdn.shopify.com/s/files/1/0947/0174/8548/files/Namnlosdesign-2026-06-17T090226.745.png?v=1781679755" TargetMode="External"/><Relationship Id="rId56" Type="http://schemas.openxmlformats.org/officeDocument/2006/relationships/hyperlink" Target="https://cdn.shopify.com/s/files/1/0947/0174/8548/files/Namnlosdesign-2025-09-17T163119.259.png?v=1758119500" TargetMode="External"/><Relationship Id="rId15" Type="http://schemas.openxmlformats.org/officeDocument/2006/relationships/hyperlink" Target="https://grillkliniken.se/products/forklade-grill-master" TargetMode="External"/><Relationship Id="rId59" Type="http://schemas.openxmlformats.org/officeDocument/2006/relationships/hyperlink" Target="https://grillkliniken.se/products/6-pack-knivset" TargetMode="External"/><Relationship Id="rId14" Type="http://schemas.openxmlformats.org/officeDocument/2006/relationships/hyperlink" Target="https://cdn.shopify.com/s/files/1/0947/0174/8548/files/WhatsAppBild2025-09-10kl.09.58.34_2355a72c.jpg?v=1758264050" TargetMode="External"/><Relationship Id="rId58" Type="http://schemas.openxmlformats.org/officeDocument/2006/relationships/hyperlink" Target="https://cdn.shopify.com/s/files/1/0947/0174/8548/files/Namnlosdesign-2025-09-17T160715.986.png?v=1758118049" TargetMode="External"/><Relationship Id="rId17" Type="http://schemas.openxmlformats.org/officeDocument/2006/relationships/hyperlink" Target="https://grillkliniken.se/products/forklade-kiss-and-bring-him-beer" TargetMode="External"/><Relationship Id="rId16" Type="http://schemas.openxmlformats.org/officeDocument/2006/relationships/hyperlink" Target="https://cdn.shopify.com/s/files/1/0947/0174/8548/files/fe171f83-0a85-4e82-ae40-eb2e521a4deb_1.jpg?v=1758129711" TargetMode="External"/><Relationship Id="rId19" Type="http://schemas.openxmlformats.org/officeDocument/2006/relationships/hyperlink" Target="https://grillkliniken.se/products/forklade-kvinna-i-bikini" TargetMode="External"/><Relationship Id="rId18" Type="http://schemas.openxmlformats.org/officeDocument/2006/relationships/hyperlink" Target="https://cdn.shopify.com/s/files/1/0947/0174/8548/files/WhatsAppBild2025-09-10kl.10.04.02_1522f158.jpg?v=17582650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6.0"/>
    <col customWidth="1" min="2" max="2" width="32.0"/>
    <col customWidth="1" min="3" max="3" width="16.0"/>
    <col customWidth="1" min="4" max="4" width="26.0"/>
    <col customWidth="1" min="5" max="5" width="28.0"/>
    <col customWidth="1" min="6" max="6" width="42.0"/>
    <col customWidth="1" min="7" max="7" width="9.0"/>
    <col customWidth="1" min="8" max="8" width="13.0"/>
    <col customWidth="1" min="9" max="9" width="12.0"/>
    <col customWidth="1" min="10" max="10" width="13.0"/>
    <col customWidth="1" min="11" max="11" width="9.0"/>
    <col customWidth="1" min="12" max="12" width="13.0"/>
    <col customWidth="1" min="13" max="14" width="14.0"/>
    <col customWidth="1" min="15" max="15" width="12.0"/>
    <col customWidth="1" min="16" max="16" width="11.0"/>
    <col customWidth="1" min="17" max="27" width="8.71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4">
        <v>9.6376</v>
      </c>
      <c r="C3" s="2" t="s">
        <v>3</v>
      </c>
    </row>
    <row r="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  <c r="K5" s="5" t="s">
        <v>14</v>
      </c>
      <c r="L5" s="5" t="s">
        <v>15</v>
      </c>
      <c r="M5" s="5" t="s">
        <v>16</v>
      </c>
      <c r="N5" s="6" t="s">
        <v>17</v>
      </c>
      <c r="O5" s="5" t="s">
        <v>18</v>
      </c>
      <c r="P5" s="5" t="s">
        <v>19</v>
      </c>
    </row>
    <row r="6" ht="79.5" customHeight="1">
      <c r="A6" s="7" t="str">
        <f>IMAGE("https://cdn.shopify.com/s/files/1/0947/0174/8548/files/Namnlosdesign-2025-09-17T160340.413.png?v=1758117841",,1)</f>
        <v>#VALUE!</v>
      </c>
      <c r="B6" s="8" t="s">
        <v>20</v>
      </c>
      <c r="C6" s="9" t="s">
        <v>21</v>
      </c>
      <c r="D6" s="10" t="s">
        <v>21</v>
      </c>
      <c r="E6" s="10" t="s">
        <v>22</v>
      </c>
      <c r="F6" s="8" t="s">
        <v>23</v>
      </c>
      <c r="G6" s="7" t="s">
        <v>24</v>
      </c>
      <c r="H6" s="11">
        <v>149.0</v>
      </c>
      <c r="I6" s="12">
        <v>0.6</v>
      </c>
      <c r="J6" s="12">
        <v>5.6</v>
      </c>
      <c r="K6" s="12">
        <v>0.1</v>
      </c>
      <c r="L6" s="13">
        <v>6.6</v>
      </c>
      <c r="M6" s="14">
        <f t="shared" ref="M6:M61" si="1">IF(L6="","",L6*$B$3)</f>
        <v>63.60816</v>
      </c>
      <c r="N6" s="14"/>
      <c r="O6" s="15" t="s">
        <v>25</v>
      </c>
      <c r="P6" s="15" t="s">
        <v>26</v>
      </c>
    </row>
    <row r="7" ht="25.5" customHeight="1">
      <c r="A7" s="16" t="str">
        <f>IMAGE("https://cdn.shopify.com/s/files/1/0947/0174/8548/files/9Redskap.png?v=1758044867",,1)</f>
        <v>#VALUE!</v>
      </c>
      <c r="B7" s="17" t="s">
        <v>27</v>
      </c>
      <c r="C7" s="18" t="s">
        <v>28</v>
      </c>
      <c r="D7" s="19" t="s">
        <v>29</v>
      </c>
      <c r="E7" s="19" t="s">
        <v>30</v>
      </c>
      <c r="F7" s="17" t="s">
        <v>31</v>
      </c>
      <c r="G7" s="20" t="s">
        <v>24</v>
      </c>
      <c r="H7" s="21">
        <v>299.0</v>
      </c>
      <c r="I7" s="12">
        <v>2.8</v>
      </c>
      <c r="J7" s="12">
        <v>6.7</v>
      </c>
      <c r="K7" s="12">
        <v>0.17</v>
      </c>
      <c r="L7" s="22">
        <f t="shared" ref="L7:L61" si="2">IF(COUNT(I7:J7)=2,SUM(I7:J7),"")</f>
        <v>9.5</v>
      </c>
      <c r="M7" s="14">
        <f t="shared" si="1"/>
        <v>91.5572</v>
      </c>
      <c r="N7" s="14"/>
      <c r="O7" s="23" t="s">
        <v>25</v>
      </c>
      <c r="P7" s="23" t="s">
        <v>26</v>
      </c>
    </row>
    <row r="8" ht="25.5" customHeight="1">
      <c r="A8" s="24"/>
      <c r="B8" s="17" t="s">
        <v>27</v>
      </c>
      <c r="C8" s="18" t="s">
        <v>32</v>
      </c>
      <c r="D8" s="19" t="s">
        <v>33</v>
      </c>
      <c r="E8" s="19" t="s">
        <v>30</v>
      </c>
      <c r="F8" s="17" t="s">
        <v>31</v>
      </c>
      <c r="G8" s="20" t="s">
        <v>24</v>
      </c>
      <c r="H8" s="21">
        <v>349.0</v>
      </c>
      <c r="I8" s="12">
        <v>3.8</v>
      </c>
      <c r="J8" s="12">
        <v>6.9</v>
      </c>
      <c r="K8" s="12">
        <v>0.25</v>
      </c>
      <c r="L8" s="22">
        <f t="shared" si="2"/>
        <v>10.7</v>
      </c>
      <c r="M8" s="14">
        <f t="shared" si="1"/>
        <v>103.12232</v>
      </c>
      <c r="N8" s="14"/>
      <c r="O8" s="24"/>
      <c r="P8" s="24"/>
    </row>
    <row r="9" ht="25.5" customHeight="1">
      <c r="A9" s="25"/>
      <c r="B9" s="17" t="s">
        <v>27</v>
      </c>
      <c r="C9" s="18" t="s">
        <v>34</v>
      </c>
      <c r="D9" s="19" t="s">
        <v>35</v>
      </c>
      <c r="E9" s="19" t="s">
        <v>30</v>
      </c>
      <c r="F9" s="17" t="s">
        <v>31</v>
      </c>
      <c r="G9" s="20" t="s">
        <v>24</v>
      </c>
      <c r="H9" s="21">
        <v>399.0</v>
      </c>
      <c r="I9" s="12">
        <v>4.1</v>
      </c>
      <c r="J9" s="12">
        <v>10.1</v>
      </c>
      <c r="K9" s="12">
        <v>0.67</v>
      </c>
      <c r="L9" s="22">
        <f t="shared" si="2"/>
        <v>14.2</v>
      </c>
      <c r="M9" s="14">
        <f t="shared" si="1"/>
        <v>136.85392</v>
      </c>
      <c r="N9" s="14"/>
      <c r="O9" s="25"/>
      <c r="P9" s="25"/>
    </row>
    <row r="10" ht="79.5" customHeight="1">
      <c r="A10" s="7" t="str">
        <f>IMAGE("https://cdn.shopify.com/s/files/1/0947/0174/8548/files/hf_20260511_034602_3ce2d7ec-70ac-47a7-a49d-d5a7e53f8c79.png?v=1778471437",,1)</f>
        <v>#VALUE!</v>
      </c>
      <c r="B10" s="8" t="s">
        <v>36</v>
      </c>
      <c r="C10" s="9" t="s">
        <v>21</v>
      </c>
      <c r="D10" s="10" t="s">
        <v>21</v>
      </c>
      <c r="E10" s="10" t="s">
        <v>37</v>
      </c>
      <c r="F10" s="8" t="s">
        <v>38</v>
      </c>
      <c r="G10" s="7" t="s">
        <v>24</v>
      </c>
      <c r="H10" s="11">
        <v>249.0</v>
      </c>
      <c r="I10" s="12">
        <v>3.0</v>
      </c>
      <c r="J10" s="12">
        <v>7.7</v>
      </c>
      <c r="K10" s="12">
        <v>0.4</v>
      </c>
      <c r="L10" s="26">
        <f t="shared" si="2"/>
        <v>10.7</v>
      </c>
      <c r="M10" s="14">
        <f t="shared" si="1"/>
        <v>103.12232</v>
      </c>
      <c r="N10" s="14"/>
      <c r="O10" s="15" t="s">
        <v>25</v>
      </c>
      <c r="P10" s="15" t="s">
        <v>26</v>
      </c>
    </row>
    <row r="11" ht="79.5" customHeight="1">
      <c r="A11" s="20" t="str">
        <f>IMAGE("https://cdn.shopify.com/s/files/1/0947/0174/8548/files/CharBreaker_Accessories_1.webp?v=1776973079",,1)</f>
        <v>#VALUE!</v>
      </c>
      <c r="B11" s="17" t="s">
        <v>39</v>
      </c>
      <c r="C11" s="18" t="s">
        <v>21</v>
      </c>
      <c r="D11" s="19" t="s">
        <v>21</v>
      </c>
      <c r="E11" s="19" t="s">
        <v>40</v>
      </c>
      <c r="F11" s="17" t="s">
        <v>41</v>
      </c>
      <c r="G11" s="20" t="s">
        <v>42</v>
      </c>
      <c r="H11" s="21">
        <v>200.0</v>
      </c>
      <c r="I11" s="12"/>
      <c r="J11" s="27"/>
      <c r="K11" s="27"/>
      <c r="L11" s="22" t="str">
        <f t="shared" si="2"/>
        <v/>
      </c>
      <c r="M11" s="14" t="str">
        <f t="shared" si="1"/>
        <v/>
      </c>
      <c r="N11" s="28" t="s">
        <v>43</v>
      </c>
      <c r="O11" s="29" t="s">
        <v>25</v>
      </c>
      <c r="P11" s="29" t="s">
        <v>26</v>
      </c>
    </row>
    <row r="12" ht="79.5" customHeight="1">
      <c r="A12" s="7" t="str">
        <f>IMAGE("https://cdn.shopify.com/s/files/1/0947/0174/8548/files/CharBreaker_Accessories_3.jpg?v=1776973191",,1)</f>
        <v>#VALUE!</v>
      </c>
      <c r="B12" s="8" t="s">
        <v>44</v>
      </c>
      <c r="C12" s="9" t="s">
        <v>21</v>
      </c>
      <c r="D12" s="10" t="s">
        <v>21</v>
      </c>
      <c r="E12" s="10" t="s">
        <v>45</v>
      </c>
      <c r="F12" s="8" t="s">
        <v>46</v>
      </c>
      <c r="G12" s="7" t="s">
        <v>42</v>
      </c>
      <c r="H12" s="11">
        <v>200.0</v>
      </c>
      <c r="I12" s="12"/>
      <c r="J12" s="27"/>
      <c r="K12" s="27"/>
      <c r="L12" s="26" t="str">
        <f t="shared" si="2"/>
        <v/>
      </c>
      <c r="M12" s="14" t="str">
        <f t="shared" si="1"/>
        <v/>
      </c>
      <c r="N12" s="28" t="s">
        <v>43</v>
      </c>
      <c r="O12" s="15" t="s">
        <v>25</v>
      </c>
      <c r="P12" s="15" t="s">
        <v>26</v>
      </c>
    </row>
    <row r="13" ht="79.5" customHeight="1">
      <c r="A13" s="20" t="str">
        <f>IMAGE("https://cdn.shopify.com/s/files/1/0947/0174/8548/files/Namnlosdesign-2026-06-17T090226.745.png?v=1781679755",,1)</f>
        <v>#VALUE!</v>
      </c>
      <c r="B13" s="17" t="s">
        <v>47</v>
      </c>
      <c r="C13" s="18" t="s">
        <v>21</v>
      </c>
      <c r="D13" s="19" t="s">
        <v>21</v>
      </c>
      <c r="E13" s="19" t="s">
        <v>48</v>
      </c>
      <c r="F13" s="17" t="s">
        <v>49</v>
      </c>
      <c r="G13" s="20" t="s">
        <v>24</v>
      </c>
      <c r="H13" s="21">
        <v>2800.0</v>
      </c>
      <c r="I13" s="12">
        <v>42.8</v>
      </c>
      <c r="J13" s="12">
        <v>56.9</v>
      </c>
      <c r="K13" s="12">
        <v>7.7</v>
      </c>
      <c r="L13" s="22">
        <f t="shared" si="2"/>
        <v>99.7</v>
      </c>
      <c r="M13" s="14">
        <f t="shared" si="1"/>
        <v>960.86872</v>
      </c>
      <c r="N13" s="28" t="s">
        <v>50</v>
      </c>
      <c r="O13" s="29" t="s">
        <v>25</v>
      </c>
      <c r="P13" s="29" t="s">
        <v>26</v>
      </c>
    </row>
    <row r="14" ht="79.5" customHeight="1">
      <c r="A14" s="7" t="str">
        <f>IMAGE("https://cdn.shopify.com/s/files/1/0947/0174/8548/files/WhatsAppBild2025-09-10kl.09.58.34_2355a72c.jpg?v=1758264050",,1)</f>
        <v>#VALUE!</v>
      </c>
      <c r="B14" s="8" t="s">
        <v>51</v>
      </c>
      <c r="C14" s="9" t="s">
        <v>21</v>
      </c>
      <c r="D14" s="10" t="s">
        <v>21</v>
      </c>
      <c r="E14" s="10" t="s">
        <v>52</v>
      </c>
      <c r="F14" s="8" t="s">
        <v>53</v>
      </c>
      <c r="G14" s="7" t="s">
        <v>24</v>
      </c>
      <c r="H14" s="11">
        <v>149.0</v>
      </c>
      <c r="I14" s="12">
        <v>1.5</v>
      </c>
      <c r="J14" s="12">
        <v>6.1</v>
      </c>
      <c r="K14" s="12">
        <v>0.17</v>
      </c>
      <c r="L14" s="26">
        <f t="shared" si="2"/>
        <v>7.6</v>
      </c>
      <c r="M14" s="14">
        <f t="shared" si="1"/>
        <v>73.24576</v>
      </c>
      <c r="N14" s="14"/>
      <c r="O14" s="15" t="s">
        <v>25</v>
      </c>
      <c r="P14" s="15" t="s">
        <v>26</v>
      </c>
    </row>
    <row r="15" ht="79.5" customHeight="1">
      <c r="A15" s="20" t="str">
        <f>IMAGE("https://cdn.shopify.com/s/files/1/0947/0174/8548/files/fe171f83-0a85-4e82-ae40-eb2e521a4deb_1.jpg?v=1758129711",,1)</f>
        <v>#VALUE!</v>
      </c>
      <c r="B15" s="17" t="s">
        <v>54</v>
      </c>
      <c r="C15" s="18" t="s">
        <v>21</v>
      </c>
      <c r="D15" s="19" t="s">
        <v>21</v>
      </c>
      <c r="E15" s="19" t="s">
        <v>55</v>
      </c>
      <c r="F15" s="17" t="s">
        <v>56</v>
      </c>
      <c r="G15" s="20" t="s">
        <v>24</v>
      </c>
      <c r="H15" s="21">
        <v>149.0</v>
      </c>
      <c r="I15" s="12">
        <v>2.5</v>
      </c>
      <c r="J15" s="12">
        <v>6.1</v>
      </c>
      <c r="K15" s="12">
        <v>0.17</v>
      </c>
      <c r="L15" s="22">
        <f t="shared" si="2"/>
        <v>8.6</v>
      </c>
      <c r="M15" s="14">
        <f t="shared" si="1"/>
        <v>82.88336</v>
      </c>
      <c r="N15" s="14"/>
      <c r="O15" s="29" t="s">
        <v>25</v>
      </c>
      <c r="P15" s="29" t="s">
        <v>26</v>
      </c>
    </row>
    <row r="16" ht="79.5" customHeight="1">
      <c r="A16" s="7" t="str">
        <f>IMAGE("https://cdn.shopify.com/s/files/1/0947/0174/8548/files/WhatsAppBild2025-09-10kl.10.04.02_1522f158.jpg?v=1758265091",,1)</f>
        <v>#VALUE!</v>
      </c>
      <c r="B16" s="8" t="s">
        <v>57</v>
      </c>
      <c r="C16" s="9" t="s">
        <v>21</v>
      </c>
      <c r="D16" s="10" t="s">
        <v>21</v>
      </c>
      <c r="E16" s="10" t="s">
        <v>58</v>
      </c>
      <c r="F16" s="8" t="s">
        <v>59</v>
      </c>
      <c r="G16" s="7" t="s">
        <v>24</v>
      </c>
      <c r="H16" s="11">
        <v>149.0</v>
      </c>
      <c r="I16" s="12">
        <v>2.5</v>
      </c>
      <c r="J16" s="12">
        <v>6.1</v>
      </c>
      <c r="K16" s="12">
        <v>0.17</v>
      </c>
      <c r="L16" s="26">
        <f t="shared" si="2"/>
        <v>8.6</v>
      </c>
      <c r="M16" s="14">
        <f t="shared" si="1"/>
        <v>82.88336</v>
      </c>
      <c r="N16" s="14"/>
      <c r="O16" s="15" t="s">
        <v>25</v>
      </c>
      <c r="P16" s="15" t="s">
        <v>26</v>
      </c>
    </row>
    <row r="17" ht="79.5" customHeight="1">
      <c r="A17" s="20" t="str">
        <f>IMAGE("https://cdn.shopify.com/s/files/1/0947/0174/8548/files/WhatsAppBild2025-09-10kl.09.58.33_1f58d59d.jpg?v=1758263968",,1)</f>
        <v>#VALUE!</v>
      </c>
      <c r="B17" s="17" t="s">
        <v>60</v>
      </c>
      <c r="C17" s="18" t="s">
        <v>21</v>
      </c>
      <c r="D17" s="19" t="s">
        <v>21</v>
      </c>
      <c r="E17" s="19" t="s">
        <v>61</v>
      </c>
      <c r="F17" s="17" t="s">
        <v>62</v>
      </c>
      <c r="G17" s="20" t="s">
        <v>24</v>
      </c>
      <c r="H17" s="21">
        <v>149.0</v>
      </c>
      <c r="I17" s="12">
        <v>1.5</v>
      </c>
      <c r="J17" s="12">
        <v>6.1</v>
      </c>
      <c r="K17" s="12">
        <v>0.17</v>
      </c>
      <c r="L17" s="22">
        <f t="shared" si="2"/>
        <v>7.6</v>
      </c>
      <c r="M17" s="14">
        <f t="shared" si="1"/>
        <v>73.24576</v>
      </c>
      <c r="N17" s="14"/>
      <c r="O17" s="29" t="s">
        <v>25</v>
      </c>
      <c r="P17" s="29" t="s">
        <v>26</v>
      </c>
    </row>
    <row r="18" ht="79.5" customHeight="1">
      <c r="A18" s="7" t="str">
        <f>IMAGE("https://cdn.shopify.com/s/files/1/0947/0174/8548/files/WhatsAppBild2025-09-10kl.10.01.21_5043bbad.jpg?v=1758264987",,1)</f>
        <v>#VALUE!</v>
      </c>
      <c r="B18" s="8" t="s">
        <v>63</v>
      </c>
      <c r="C18" s="9" t="s">
        <v>21</v>
      </c>
      <c r="D18" s="10" t="s">
        <v>21</v>
      </c>
      <c r="E18" s="10" t="s">
        <v>64</v>
      </c>
      <c r="F18" s="8" t="s">
        <v>65</v>
      </c>
      <c r="G18" s="7" t="s">
        <v>24</v>
      </c>
      <c r="H18" s="11">
        <v>149.0</v>
      </c>
      <c r="I18" s="12">
        <v>1.5</v>
      </c>
      <c r="J18" s="12">
        <v>6.1</v>
      </c>
      <c r="K18" s="12">
        <v>0.17</v>
      </c>
      <c r="L18" s="26">
        <f t="shared" si="2"/>
        <v>7.6</v>
      </c>
      <c r="M18" s="14">
        <f t="shared" si="1"/>
        <v>73.24576</v>
      </c>
      <c r="N18" s="14"/>
      <c r="O18" s="15" t="s">
        <v>25</v>
      </c>
      <c r="P18" s="15" t="s">
        <v>26</v>
      </c>
    </row>
    <row r="19" ht="79.5" customHeight="1">
      <c r="A19" s="20" t="str">
        <f>IMAGE("https://cdn.shopify.com/s/files/1/0947/0174/8548/files/WhatsAppBild2025-09-09kl.11.42.13_d6f72c9b.jpg?v=1758214096",,1)</f>
        <v>#VALUE!</v>
      </c>
      <c r="B19" s="17" t="s">
        <v>66</v>
      </c>
      <c r="C19" s="18" t="s">
        <v>21</v>
      </c>
      <c r="D19" s="19" t="s">
        <v>21</v>
      </c>
      <c r="E19" s="19" t="s">
        <v>67</v>
      </c>
      <c r="F19" s="17" t="s">
        <v>68</v>
      </c>
      <c r="G19" s="20" t="s">
        <v>24</v>
      </c>
      <c r="H19" s="21">
        <v>149.0</v>
      </c>
      <c r="I19" s="12">
        <v>1.5</v>
      </c>
      <c r="J19" s="12">
        <v>6.1</v>
      </c>
      <c r="K19" s="12">
        <v>0.17</v>
      </c>
      <c r="L19" s="22">
        <f t="shared" si="2"/>
        <v>7.6</v>
      </c>
      <c r="M19" s="14">
        <f t="shared" si="1"/>
        <v>73.24576</v>
      </c>
      <c r="N19" s="14"/>
      <c r="O19" s="29" t="s">
        <v>25</v>
      </c>
      <c r="P19" s="29" t="s">
        <v>26</v>
      </c>
    </row>
    <row r="20" ht="39.75" customHeight="1">
      <c r="A20" s="30" t="str">
        <f>IMAGE("https://cdn.shopify.com/s/files/1/0947/0174/8548/files/WhatsAppBild2025-09-09kl.11.41.31_4d39e2be.jpg?v=1758213741",,1)</f>
        <v>#VALUE!</v>
      </c>
      <c r="B20" s="8" t="s">
        <v>69</v>
      </c>
      <c r="C20" s="9" t="s">
        <v>70</v>
      </c>
      <c r="D20" s="10" t="s">
        <v>71</v>
      </c>
      <c r="E20" s="10" t="s">
        <v>72</v>
      </c>
      <c r="F20" s="8" t="s">
        <v>73</v>
      </c>
      <c r="G20" s="7" t="s">
        <v>24</v>
      </c>
      <c r="H20" s="11">
        <v>499.0</v>
      </c>
      <c r="I20" s="12">
        <v>9.4</v>
      </c>
      <c r="J20" s="12">
        <v>10.7</v>
      </c>
      <c r="K20" s="12">
        <v>0.8</v>
      </c>
      <c r="L20" s="26">
        <f t="shared" si="2"/>
        <v>20.1</v>
      </c>
      <c r="M20" s="14">
        <f t="shared" si="1"/>
        <v>193.71576</v>
      </c>
      <c r="N20" s="14"/>
      <c r="O20" s="31" t="s">
        <v>25</v>
      </c>
      <c r="P20" s="31" t="s">
        <v>26</v>
      </c>
    </row>
    <row r="21" ht="39.75" customHeight="1">
      <c r="A21" s="25"/>
      <c r="B21" s="8" t="s">
        <v>69</v>
      </c>
      <c r="C21" s="9" t="s">
        <v>74</v>
      </c>
      <c r="D21" s="10" t="s">
        <v>75</v>
      </c>
      <c r="E21" s="10" t="s">
        <v>72</v>
      </c>
      <c r="F21" s="8" t="s">
        <v>73</v>
      </c>
      <c r="G21" s="7" t="s">
        <v>24</v>
      </c>
      <c r="H21" s="11">
        <v>499.0</v>
      </c>
      <c r="I21" s="12">
        <v>9.4</v>
      </c>
      <c r="J21" s="12">
        <v>10.7</v>
      </c>
      <c r="K21" s="12">
        <v>0.8</v>
      </c>
      <c r="L21" s="26">
        <f t="shared" si="2"/>
        <v>20.1</v>
      </c>
      <c r="M21" s="14">
        <f t="shared" si="1"/>
        <v>193.71576</v>
      </c>
      <c r="N21" s="14"/>
      <c r="O21" s="25"/>
      <c r="P21" s="25"/>
    </row>
    <row r="22" ht="79.5" customHeight="1">
      <c r="A22" s="20" t="str">
        <f>IMAGE("https://cdn.shopify.com/s/files/1/0947/0174/8548/files/WhatsAppBild2025-09-10kl.09.55.40_a2592290.jpg?v=1758263676",,1)</f>
        <v>#VALUE!</v>
      </c>
      <c r="B22" s="17" t="s">
        <v>76</v>
      </c>
      <c r="C22" s="18" t="s">
        <v>21</v>
      </c>
      <c r="D22" s="19" t="s">
        <v>21</v>
      </c>
      <c r="E22" s="19" t="s">
        <v>77</v>
      </c>
      <c r="F22" s="17" t="s">
        <v>78</v>
      </c>
      <c r="G22" s="20" t="s">
        <v>24</v>
      </c>
      <c r="H22" s="21">
        <v>149.0</v>
      </c>
      <c r="I22" s="12">
        <v>1.5</v>
      </c>
      <c r="J22" s="12">
        <v>6.1</v>
      </c>
      <c r="K22" s="12">
        <v>0.17</v>
      </c>
      <c r="L22" s="22">
        <f t="shared" si="2"/>
        <v>7.6</v>
      </c>
      <c r="M22" s="14">
        <f t="shared" si="1"/>
        <v>73.24576</v>
      </c>
      <c r="N22" s="14"/>
      <c r="O22" s="29" t="s">
        <v>25</v>
      </c>
      <c r="P22" s="29" t="s">
        <v>26</v>
      </c>
    </row>
    <row r="23" ht="21.75" customHeight="1">
      <c r="A23" s="30" t="str">
        <f>IMAGE("https://cdn.shopify.com/s/files/1/0947/0174/8548/files/WhatsAppBild2025-09-10kl.09.59.41_e6a3910c.jpg?v=1758264164",,1)</f>
        <v>#VALUE!</v>
      </c>
      <c r="B23" s="8" t="s">
        <v>79</v>
      </c>
      <c r="C23" s="9" t="s">
        <v>70</v>
      </c>
      <c r="D23" s="10" t="s">
        <v>21</v>
      </c>
      <c r="E23" s="10" t="s">
        <v>80</v>
      </c>
      <c r="F23" s="8" t="s">
        <v>81</v>
      </c>
      <c r="G23" s="7" t="s">
        <v>24</v>
      </c>
      <c r="H23" s="11">
        <v>299.0</v>
      </c>
      <c r="I23" s="12">
        <v>2.6</v>
      </c>
      <c r="J23" s="12">
        <v>8.4</v>
      </c>
      <c r="K23" s="12">
        <v>0.43</v>
      </c>
      <c r="L23" s="26">
        <f t="shared" si="2"/>
        <v>11</v>
      </c>
      <c r="M23" s="14">
        <f t="shared" si="1"/>
        <v>106.0136</v>
      </c>
      <c r="N23" s="14"/>
      <c r="O23" s="31" t="s">
        <v>25</v>
      </c>
      <c r="P23" s="31" t="s">
        <v>26</v>
      </c>
    </row>
    <row r="24" ht="21.75" customHeight="1">
      <c r="A24" s="24"/>
      <c r="B24" s="8" t="s">
        <v>79</v>
      </c>
      <c r="C24" s="9" t="s">
        <v>74</v>
      </c>
      <c r="D24" s="10" t="s">
        <v>21</v>
      </c>
      <c r="E24" s="10" t="s">
        <v>80</v>
      </c>
      <c r="F24" s="8" t="s">
        <v>81</v>
      </c>
      <c r="G24" s="7" t="s">
        <v>24</v>
      </c>
      <c r="H24" s="11">
        <v>299.0</v>
      </c>
      <c r="I24" s="12">
        <v>2.6</v>
      </c>
      <c r="J24" s="12">
        <v>8.4</v>
      </c>
      <c r="K24" s="12">
        <v>0.43</v>
      </c>
      <c r="L24" s="26">
        <f t="shared" si="2"/>
        <v>11</v>
      </c>
      <c r="M24" s="14">
        <f t="shared" si="1"/>
        <v>106.0136</v>
      </c>
      <c r="N24" s="14"/>
      <c r="O24" s="24"/>
      <c r="P24" s="24"/>
    </row>
    <row r="25" ht="21.75" customHeight="1">
      <c r="A25" s="24"/>
      <c r="B25" s="8" t="s">
        <v>79</v>
      </c>
      <c r="C25" s="9" t="s">
        <v>82</v>
      </c>
      <c r="D25" s="10" t="s">
        <v>21</v>
      </c>
      <c r="E25" s="10" t="s">
        <v>80</v>
      </c>
      <c r="F25" s="8" t="s">
        <v>81</v>
      </c>
      <c r="G25" s="7" t="s">
        <v>24</v>
      </c>
      <c r="H25" s="11">
        <v>299.0</v>
      </c>
      <c r="I25" s="12">
        <v>2.6</v>
      </c>
      <c r="J25" s="12">
        <v>8.4</v>
      </c>
      <c r="K25" s="12">
        <v>0.43</v>
      </c>
      <c r="L25" s="26">
        <f t="shared" si="2"/>
        <v>11</v>
      </c>
      <c r="M25" s="14">
        <f t="shared" si="1"/>
        <v>106.0136</v>
      </c>
      <c r="N25" s="14"/>
      <c r="O25" s="24"/>
      <c r="P25" s="24"/>
    </row>
    <row r="26" ht="21.75" customHeight="1">
      <c r="A26" s="25"/>
      <c r="B26" s="8" t="s">
        <v>79</v>
      </c>
      <c r="C26" s="9" t="s">
        <v>83</v>
      </c>
      <c r="D26" s="10" t="s">
        <v>21</v>
      </c>
      <c r="E26" s="10" t="s">
        <v>80</v>
      </c>
      <c r="F26" s="8" t="s">
        <v>81</v>
      </c>
      <c r="G26" s="7" t="s">
        <v>24</v>
      </c>
      <c r="H26" s="11">
        <v>299.0</v>
      </c>
      <c r="I26" s="12">
        <v>2.6</v>
      </c>
      <c r="J26" s="12">
        <v>8.4</v>
      </c>
      <c r="K26" s="12">
        <v>0.43</v>
      </c>
      <c r="L26" s="26">
        <f t="shared" si="2"/>
        <v>11</v>
      </c>
      <c r="M26" s="14">
        <f t="shared" si="1"/>
        <v>106.0136</v>
      </c>
      <c r="N26" s="14"/>
      <c r="O26" s="25"/>
      <c r="P26" s="25"/>
    </row>
    <row r="27" ht="79.5" customHeight="1">
      <c r="A27" s="20" t="str">
        <f>IMAGE("https://cdn.shopify.com/s/files/1/0947/0174/8548/files/WhatsAppBild2025-09-09kl.11.43.40_035096ac.jpg?v=1758263561",,1)</f>
        <v>#VALUE!</v>
      </c>
      <c r="B27" s="17" t="s">
        <v>84</v>
      </c>
      <c r="C27" s="18" t="s">
        <v>21</v>
      </c>
      <c r="D27" s="19" t="s">
        <v>21</v>
      </c>
      <c r="E27" s="19" t="s">
        <v>85</v>
      </c>
      <c r="F27" s="17" t="s">
        <v>86</v>
      </c>
      <c r="G27" s="20" t="s">
        <v>24</v>
      </c>
      <c r="H27" s="21">
        <v>149.0</v>
      </c>
      <c r="I27" s="12">
        <v>2.5</v>
      </c>
      <c r="J27" s="12">
        <v>6.1</v>
      </c>
      <c r="K27" s="12">
        <v>0.17</v>
      </c>
      <c r="L27" s="22">
        <f t="shared" si="2"/>
        <v>8.6</v>
      </c>
      <c r="M27" s="14">
        <f t="shared" si="1"/>
        <v>82.88336</v>
      </c>
      <c r="N27" s="14"/>
      <c r="O27" s="29" t="s">
        <v>25</v>
      </c>
      <c r="P27" s="29" t="s">
        <v>26</v>
      </c>
    </row>
    <row r="28" ht="79.5" customHeight="1">
      <c r="A28" s="7" t="str">
        <f>IMAGE("https://cdn.shopify.com/s/files/1/0947/0174/8548/files/WhatsAppBild2025-09-10kl.09.58.33_52519e32.jpg?v=1758263848",,1)</f>
        <v>#VALUE!</v>
      </c>
      <c r="B28" s="8" t="s">
        <v>87</v>
      </c>
      <c r="C28" s="9" t="s">
        <v>21</v>
      </c>
      <c r="D28" s="10" t="s">
        <v>21</v>
      </c>
      <c r="E28" s="10" t="s">
        <v>88</v>
      </c>
      <c r="F28" s="8" t="s">
        <v>89</v>
      </c>
      <c r="G28" s="7" t="s">
        <v>24</v>
      </c>
      <c r="H28" s="11">
        <v>149.0</v>
      </c>
      <c r="I28" s="12">
        <v>1.5</v>
      </c>
      <c r="J28" s="12">
        <v>6.1</v>
      </c>
      <c r="K28" s="12">
        <v>0.17</v>
      </c>
      <c r="L28" s="26">
        <f t="shared" si="2"/>
        <v>7.6</v>
      </c>
      <c r="M28" s="14">
        <f t="shared" si="1"/>
        <v>73.24576</v>
      </c>
      <c r="N28" s="14"/>
      <c r="O28" s="15" t="s">
        <v>25</v>
      </c>
      <c r="P28" s="15" t="s">
        <v>26</v>
      </c>
    </row>
    <row r="29" ht="79.5" customHeight="1">
      <c r="A29" s="20" t="str">
        <f>IMAGE("https://cdn.shopify.com/s/files/1/0947/0174/8548/files/a53fd91a-40f2-499f-b15d-c64edba8baa9_800x_775b3cd8-81dc-4760-90e9-2fff40e6058e.webp?v=1778567372",,1)</f>
        <v>#VALUE!</v>
      </c>
      <c r="B29" s="17" t="s">
        <v>90</v>
      </c>
      <c r="C29" s="18" t="s">
        <v>21</v>
      </c>
      <c r="D29" s="19" t="s">
        <v>21</v>
      </c>
      <c r="E29" s="19" t="s">
        <v>91</v>
      </c>
      <c r="F29" s="17" t="s">
        <v>92</v>
      </c>
      <c r="G29" s="20" t="s">
        <v>24</v>
      </c>
      <c r="H29" s="21">
        <v>299.0</v>
      </c>
      <c r="I29" s="12">
        <v>3.4</v>
      </c>
      <c r="J29" s="12">
        <v>6.5</v>
      </c>
      <c r="K29" s="12">
        <v>0.23</v>
      </c>
      <c r="L29" s="22">
        <f t="shared" si="2"/>
        <v>9.9</v>
      </c>
      <c r="M29" s="14">
        <f t="shared" si="1"/>
        <v>95.41224</v>
      </c>
      <c r="N29" s="14"/>
      <c r="O29" s="29" t="s">
        <v>25</v>
      </c>
      <c r="P29" s="29" t="s">
        <v>26</v>
      </c>
    </row>
    <row r="30" ht="79.5" customHeight="1">
      <c r="A30" s="7" t="str">
        <f>IMAGE("https://cdn.shopify.com/s/files/1/0947/0174/8548/files/shipping-protection_2.png?v=1776928633",,1)</f>
        <v>#VALUE!</v>
      </c>
      <c r="B30" s="8" t="s">
        <v>93</v>
      </c>
      <c r="C30" s="9" t="s">
        <v>21</v>
      </c>
      <c r="D30" s="10" t="s">
        <v>21</v>
      </c>
      <c r="E30" s="10" t="s">
        <v>94</v>
      </c>
      <c r="F30" s="8" t="s">
        <v>95</v>
      </c>
      <c r="G30" s="7" t="s">
        <v>42</v>
      </c>
      <c r="H30" s="11">
        <v>35.0</v>
      </c>
      <c r="I30" s="12"/>
      <c r="J30" s="27"/>
      <c r="K30" s="27"/>
      <c r="L30" s="26" t="str">
        <f t="shared" si="2"/>
        <v/>
      </c>
      <c r="M30" s="14" t="str">
        <f t="shared" si="1"/>
        <v/>
      </c>
      <c r="N30" s="14"/>
      <c r="O30" s="15" t="s">
        <v>25</v>
      </c>
      <c r="P30" s="15" t="s">
        <v>26</v>
      </c>
    </row>
    <row r="31" ht="39.75" customHeight="1">
      <c r="A31" s="16" t="str">
        <f>IMAGE("https://cdn.shopify.com/s/files/1/0947/0174/8548/files/1f94e684-868c-4e1d-a08d-9134d47252c8_720x720_0dda0830-c49d-40f6-8a45-36898d34c299.webp?v=1758558936",,1)</f>
        <v>#VALUE!</v>
      </c>
      <c r="B31" s="17" t="s">
        <v>96</v>
      </c>
      <c r="C31" s="18" t="s">
        <v>97</v>
      </c>
      <c r="D31" s="19" t="s">
        <v>21</v>
      </c>
      <c r="E31" s="19" t="s">
        <v>98</v>
      </c>
      <c r="F31" s="17" t="s">
        <v>99</v>
      </c>
      <c r="G31" s="20" t="s">
        <v>24</v>
      </c>
      <c r="H31" s="21">
        <v>320.0</v>
      </c>
      <c r="I31" s="12">
        <v>1.9</v>
      </c>
      <c r="J31" s="12">
        <v>9.5</v>
      </c>
      <c r="K31" s="12">
        <v>0.21</v>
      </c>
      <c r="L31" s="22">
        <f t="shared" si="2"/>
        <v>11.4</v>
      </c>
      <c r="M31" s="14">
        <f t="shared" si="1"/>
        <v>109.86864</v>
      </c>
      <c r="N31" s="28" t="s">
        <v>100</v>
      </c>
      <c r="O31" s="32" t="s">
        <v>25</v>
      </c>
      <c r="P31" s="23" t="s">
        <v>26</v>
      </c>
    </row>
    <row r="32" ht="39.75" customHeight="1">
      <c r="A32" s="25"/>
      <c r="B32" s="17" t="s">
        <v>96</v>
      </c>
      <c r="C32" s="18" t="s">
        <v>101</v>
      </c>
      <c r="D32" s="19" t="s">
        <v>21</v>
      </c>
      <c r="E32" s="19" t="s">
        <v>98</v>
      </c>
      <c r="F32" s="17" t="s">
        <v>99</v>
      </c>
      <c r="G32" s="20" t="s">
        <v>24</v>
      </c>
      <c r="H32" s="21">
        <v>350.0</v>
      </c>
      <c r="I32" s="12">
        <v>2.2</v>
      </c>
      <c r="J32" s="12">
        <v>10.1</v>
      </c>
      <c r="K32" s="12">
        <v>0.3</v>
      </c>
      <c r="L32" s="22">
        <f t="shared" si="2"/>
        <v>12.3</v>
      </c>
      <c r="M32" s="14">
        <f t="shared" si="1"/>
        <v>118.54248</v>
      </c>
      <c r="N32" s="28" t="s">
        <v>100</v>
      </c>
      <c r="O32" s="25"/>
      <c r="P32" s="25"/>
    </row>
    <row r="33" ht="79.5" customHeight="1">
      <c r="A33" s="7" t="str">
        <f>IMAGE("https://cdn.shopify.com/s/files/1/0947/0174/8548/files/WhatsAppBild2025-09-08kl.11.11.14_4e3fcdca.jpg?v=1758119997",,1)</f>
        <v>#VALUE!</v>
      </c>
      <c r="B33" s="8" t="s">
        <v>102</v>
      </c>
      <c r="C33" s="9" t="s">
        <v>21</v>
      </c>
      <c r="D33" s="10" t="s">
        <v>21</v>
      </c>
      <c r="E33" s="10" t="s">
        <v>103</v>
      </c>
      <c r="F33" s="8" t="s">
        <v>104</v>
      </c>
      <c r="G33" s="7" t="s">
        <v>42</v>
      </c>
      <c r="H33" s="11">
        <v>699.0</v>
      </c>
      <c r="I33" s="12">
        <v>5.1</v>
      </c>
      <c r="J33" s="12">
        <v>11.6</v>
      </c>
      <c r="K33" s="12">
        <v>0.35</v>
      </c>
      <c r="L33" s="26">
        <f t="shared" si="2"/>
        <v>16.7</v>
      </c>
      <c r="M33" s="14">
        <f t="shared" si="1"/>
        <v>160.94792</v>
      </c>
      <c r="N33" s="28" t="s">
        <v>105</v>
      </c>
      <c r="O33" s="15" t="s">
        <v>25</v>
      </c>
      <c r="P33" s="15" t="s">
        <v>26</v>
      </c>
    </row>
    <row r="34" ht="79.5" customHeight="1">
      <c r="A34" s="20" t="str">
        <f>IMAGE("https://cdn.shopify.com/s/files/1/0947/0174/8548/files/WhatsAppBild2025-09-05kl.09.39.33_08e2af64.jpg?v=1758036721",,1)</f>
        <v>#VALUE!</v>
      </c>
      <c r="B34" s="17" t="s">
        <v>106</v>
      </c>
      <c r="C34" s="18" t="s">
        <v>21</v>
      </c>
      <c r="D34" s="19" t="s">
        <v>21</v>
      </c>
      <c r="E34" s="19" t="s">
        <v>107</v>
      </c>
      <c r="F34" s="17" t="s">
        <v>108</v>
      </c>
      <c r="G34" s="20" t="s">
        <v>24</v>
      </c>
      <c r="H34" s="21">
        <v>99.0</v>
      </c>
      <c r="I34" s="12">
        <v>0.8</v>
      </c>
      <c r="J34" s="12">
        <v>8.2</v>
      </c>
      <c r="K34" s="12">
        <v>0.15</v>
      </c>
      <c r="L34" s="22">
        <f t="shared" si="2"/>
        <v>9</v>
      </c>
      <c r="M34" s="14">
        <f t="shared" si="1"/>
        <v>86.7384</v>
      </c>
      <c r="N34" s="28" t="s">
        <v>109</v>
      </c>
      <c r="O34" s="29" t="s">
        <v>25</v>
      </c>
      <c r="P34" s="29" t="s">
        <v>26</v>
      </c>
    </row>
    <row r="35" ht="39.75" customHeight="1">
      <c r="A35" s="30" t="str">
        <f>IMAGE("https://cdn.shopify.com/s/files/1/0947/0174/8548/files/WhatsAppImage2026-03-31at11.40.58_1.jpg?v=1774962165",,1)</f>
        <v>#VALUE!</v>
      </c>
      <c r="B35" s="8" t="s">
        <v>110</v>
      </c>
      <c r="C35" s="9" t="s">
        <v>111</v>
      </c>
      <c r="D35" s="10" t="s">
        <v>112</v>
      </c>
      <c r="E35" s="10" t="s">
        <v>113</v>
      </c>
      <c r="F35" s="8" t="s">
        <v>114</v>
      </c>
      <c r="G35" s="7" t="s">
        <v>24</v>
      </c>
      <c r="H35" s="11">
        <v>799.0</v>
      </c>
      <c r="I35" s="12">
        <v>9.5</v>
      </c>
      <c r="J35" s="12">
        <v>24.8</v>
      </c>
      <c r="K35" s="12">
        <v>2.45</v>
      </c>
      <c r="L35" s="26">
        <f t="shared" si="2"/>
        <v>34.3</v>
      </c>
      <c r="M35" s="14">
        <f t="shared" si="1"/>
        <v>330.56968</v>
      </c>
      <c r="N35" s="14"/>
      <c r="O35" s="31" t="s">
        <v>25</v>
      </c>
      <c r="P35" s="31" t="s">
        <v>26</v>
      </c>
    </row>
    <row r="36" ht="39.75" customHeight="1">
      <c r="A36" s="25"/>
      <c r="B36" s="8" t="s">
        <v>110</v>
      </c>
      <c r="C36" s="9" t="s">
        <v>74</v>
      </c>
      <c r="D36" s="10" t="s">
        <v>115</v>
      </c>
      <c r="E36" s="10" t="s">
        <v>113</v>
      </c>
      <c r="F36" s="8" t="s">
        <v>114</v>
      </c>
      <c r="G36" s="7" t="s">
        <v>24</v>
      </c>
      <c r="H36" s="11">
        <v>799.0</v>
      </c>
      <c r="I36" s="12">
        <v>9.5</v>
      </c>
      <c r="J36" s="12">
        <v>24.8</v>
      </c>
      <c r="K36" s="12">
        <v>2.45</v>
      </c>
      <c r="L36" s="26">
        <f t="shared" si="2"/>
        <v>34.3</v>
      </c>
      <c r="M36" s="14">
        <f t="shared" si="1"/>
        <v>330.56968</v>
      </c>
      <c r="N36" s="28"/>
      <c r="O36" s="25"/>
      <c r="P36" s="25"/>
    </row>
    <row r="37" ht="79.5" customHeight="1">
      <c r="A37" s="20" t="str">
        <f>IMAGE("https://cdn.shopify.com/s/files/1/0947/0174/8548/files/WhatsAppBild2025-09-04kl.05.38.37_38c79b81.jpg?v=1758043146",,1)</f>
        <v>#VALUE!</v>
      </c>
      <c r="B37" s="17" t="s">
        <v>116</v>
      </c>
      <c r="C37" s="18" t="s">
        <v>21</v>
      </c>
      <c r="D37" s="19" t="s">
        <v>21</v>
      </c>
      <c r="E37" s="19" t="s">
        <v>117</v>
      </c>
      <c r="F37" s="17" t="s">
        <v>118</v>
      </c>
      <c r="G37" s="20" t="s">
        <v>24</v>
      </c>
      <c r="H37" s="21">
        <v>1999.0</v>
      </c>
      <c r="I37" s="12">
        <v>20.8</v>
      </c>
      <c r="J37" s="12">
        <v>35.7</v>
      </c>
      <c r="K37" s="12">
        <v>4.05</v>
      </c>
      <c r="L37" s="22">
        <f t="shared" si="2"/>
        <v>56.5</v>
      </c>
      <c r="M37" s="14">
        <f t="shared" si="1"/>
        <v>544.5244</v>
      </c>
      <c r="N37" s="28" t="s">
        <v>119</v>
      </c>
      <c r="O37" s="29" t="s">
        <v>25</v>
      </c>
      <c r="P37" s="29" t="s">
        <v>26</v>
      </c>
    </row>
    <row r="38" ht="79.5" customHeight="1">
      <c r="A38" s="7" t="str">
        <f>IMAGE("https://cdn.shopify.com/s/files/1/0947/0174/8548/files/Namnlosdesign_69.png?v=1778568260",,1)</f>
        <v>#VALUE!</v>
      </c>
      <c r="B38" s="8" t="s">
        <v>120</v>
      </c>
      <c r="C38" s="9" t="s">
        <v>21</v>
      </c>
      <c r="D38" s="10" t="s">
        <v>21</v>
      </c>
      <c r="E38" s="10" t="s">
        <v>121</v>
      </c>
      <c r="F38" s="8" t="s">
        <v>122</v>
      </c>
      <c r="G38" s="7" t="s">
        <v>24</v>
      </c>
      <c r="H38" s="11">
        <v>299.0</v>
      </c>
      <c r="I38" s="12">
        <v>2.1</v>
      </c>
      <c r="J38" s="12">
        <v>7.1</v>
      </c>
      <c r="K38" s="12">
        <v>0.2</v>
      </c>
      <c r="L38" s="26">
        <f t="shared" si="2"/>
        <v>9.2</v>
      </c>
      <c r="M38" s="14">
        <f t="shared" si="1"/>
        <v>88.66592</v>
      </c>
      <c r="N38" s="14"/>
      <c r="O38" s="15" t="s">
        <v>25</v>
      </c>
      <c r="P38" s="15" t="s">
        <v>26</v>
      </c>
    </row>
    <row r="39" ht="79.5" customHeight="1">
      <c r="A39" s="20" t="str">
        <f>IMAGE("https://cdn.shopify.com/s/files/1/0947/0174/8548/files/WhatsAppBild2025-09-02kl.10.41.05_430a469e.jpg?v=1758042659",,1)</f>
        <v>#VALUE!</v>
      </c>
      <c r="B39" s="17" t="s">
        <v>123</v>
      </c>
      <c r="C39" s="18" t="s">
        <v>21</v>
      </c>
      <c r="D39" s="19" t="s">
        <v>21</v>
      </c>
      <c r="E39" s="19" t="s">
        <v>124</v>
      </c>
      <c r="F39" s="17" t="s">
        <v>125</v>
      </c>
      <c r="G39" s="20" t="s">
        <v>24</v>
      </c>
      <c r="H39" s="21">
        <v>149.0</v>
      </c>
      <c r="I39" s="12">
        <v>0.8</v>
      </c>
      <c r="J39" s="12">
        <v>6.7</v>
      </c>
      <c r="K39" s="12">
        <v>0.22</v>
      </c>
      <c r="L39" s="22">
        <f t="shared" si="2"/>
        <v>7.5</v>
      </c>
      <c r="M39" s="14">
        <f t="shared" si="1"/>
        <v>72.282</v>
      </c>
      <c r="N39" s="28" t="s">
        <v>126</v>
      </c>
      <c r="O39" s="29" t="s">
        <v>25</v>
      </c>
      <c r="P39" s="29" t="s">
        <v>26</v>
      </c>
    </row>
    <row r="40" ht="79.5" customHeight="1">
      <c r="A40" s="7" t="str">
        <f>IMAGE("https://cdn.shopify.com/s/files/1/0947/0174/8548/files/WhatsAppBild2025-09-04kl.08.57.25_54e53208.jpg?v=1758117449",,1)</f>
        <v>#VALUE!</v>
      </c>
      <c r="B40" s="8" t="s">
        <v>127</v>
      </c>
      <c r="C40" s="9" t="s">
        <v>21</v>
      </c>
      <c r="D40" s="10" t="s">
        <v>21</v>
      </c>
      <c r="E40" s="10" t="s">
        <v>128</v>
      </c>
      <c r="F40" s="8" t="s">
        <v>129</v>
      </c>
      <c r="G40" s="7" t="s">
        <v>24</v>
      </c>
      <c r="H40" s="11">
        <v>399.0</v>
      </c>
      <c r="I40" s="12">
        <v>4.5</v>
      </c>
      <c r="J40" s="12">
        <v>10.3</v>
      </c>
      <c r="K40" s="12">
        <v>0.65</v>
      </c>
      <c r="L40" s="26">
        <f t="shared" si="2"/>
        <v>14.8</v>
      </c>
      <c r="M40" s="14">
        <f t="shared" si="1"/>
        <v>142.63648</v>
      </c>
      <c r="N40" s="14"/>
      <c r="O40" s="15" t="s">
        <v>25</v>
      </c>
      <c r="P40" s="15" t="s">
        <v>26</v>
      </c>
    </row>
    <row r="41" ht="21.75" customHeight="1">
      <c r="A41" s="16" t="str">
        <f>IMAGE("https://cdn.shopify.com/s/files/1/0947/0174/8548/files/Namnlosdesign-2025-09-17T163119.259.png?v=1758119500",,1)</f>
        <v>#VALUE!</v>
      </c>
      <c r="B41" s="17" t="s">
        <v>130</v>
      </c>
      <c r="C41" s="18" t="s">
        <v>131</v>
      </c>
      <c r="D41" s="19" t="s">
        <v>132</v>
      </c>
      <c r="E41" s="19" t="s">
        <v>133</v>
      </c>
      <c r="F41" s="17" t="s">
        <v>134</v>
      </c>
      <c r="G41" s="20" t="s">
        <v>24</v>
      </c>
      <c r="H41" s="21">
        <v>99.0</v>
      </c>
      <c r="I41" s="12">
        <v>1.9</v>
      </c>
      <c r="J41" s="12">
        <v>6.3</v>
      </c>
      <c r="K41" s="12">
        <v>0.12</v>
      </c>
      <c r="L41" s="22">
        <f t="shared" si="2"/>
        <v>8.2</v>
      </c>
      <c r="M41" s="14">
        <f t="shared" si="1"/>
        <v>79.02832</v>
      </c>
      <c r="N41" s="14"/>
      <c r="O41" s="32" t="s">
        <v>25</v>
      </c>
      <c r="P41" s="23" t="s">
        <v>26</v>
      </c>
    </row>
    <row r="42" ht="21.75" customHeight="1">
      <c r="A42" s="24"/>
      <c r="B42" s="17" t="s">
        <v>130</v>
      </c>
      <c r="C42" s="18" t="s">
        <v>135</v>
      </c>
      <c r="D42" s="19" t="s">
        <v>136</v>
      </c>
      <c r="E42" s="19" t="s">
        <v>133</v>
      </c>
      <c r="F42" s="17" t="s">
        <v>134</v>
      </c>
      <c r="G42" s="20" t="s">
        <v>24</v>
      </c>
      <c r="H42" s="21">
        <v>99.0</v>
      </c>
      <c r="I42" s="12">
        <v>1.8</v>
      </c>
      <c r="J42" s="12">
        <v>6.0</v>
      </c>
      <c r="K42" s="12">
        <v>0.11</v>
      </c>
      <c r="L42" s="22">
        <f t="shared" si="2"/>
        <v>7.8</v>
      </c>
      <c r="M42" s="14">
        <f t="shared" si="1"/>
        <v>75.17328</v>
      </c>
      <c r="N42" s="14"/>
      <c r="O42" s="24"/>
      <c r="P42" s="24"/>
    </row>
    <row r="43" ht="21.75" customHeight="1">
      <c r="A43" s="24"/>
      <c r="B43" s="17" t="s">
        <v>130</v>
      </c>
      <c r="C43" s="18" t="s">
        <v>137</v>
      </c>
      <c r="D43" s="19" t="s">
        <v>138</v>
      </c>
      <c r="E43" s="19" t="s">
        <v>133</v>
      </c>
      <c r="F43" s="17" t="s">
        <v>134</v>
      </c>
      <c r="G43" s="20" t="s">
        <v>24</v>
      </c>
      <c r="H43" s="21">
        <v>99.0</v>
      </c>
      <c r="I43" s="12">
        <v>1.7</v>
      </c>
      <c r="J43" s="12">
        <v>5.8</v>
      </c>
      <c r="K43" s="12">
        <v>0.09</v>
      </c>
      <c r="L43" s="22">
        <f t="shared" si="2"/>
        <v>7.5</v>
      </c>
      <c r="M43" s="14">
        <f t="shared" si="1"/>
        <v>72.282</v>
      </c>
      <c r="N43" s="14"/>
      <c r="O43" s="24"/>
      <c r="P43" s="24"/>
    </row>
    <row r="44" ht="21.75" customHeight="1">
      <c r="A44" s="24"/>
      <c r="B44" s="17" t="s">
        <v>130</v>
      </c>
      <c r="C44" s="18" t="s">
        <v>139</v>
      </c>
      <c r="D44" s="19" t="s">
        <v>140</v>
      </c>
      <c r="E44" s="19" t="s">
        <v>133</v>
      </c>
      <c r="F44" s="17" t="s">
        <v>134</v>
      </c>
      <c r="G44" s="20" t="s">
        <v>24</v>
      </c>
      <c r="H44" s="21">
        <v>99.0</v>
      </c>
      <c r="I44" s="12">
        <v>1.9</v>
      </c>
      <c r="J44" s="12">
        <v>6.3</v>
      </c>
      <c r="K44" s="12">
        <v>0.12</v>
      </c>
      <c r="L44" s="22">
        <f t="shared" si="2"/>
        <v>8.2</v>
      </c>
      <c r="M44" s="14">
        <f t="shared" si="1"/>
        <v>79.02832</v>
      </c>
      <c r="N44" s="14"/>
      <c r="O44" s="24"/>
      <c r="P44" s="24"/>
    </row>
    <row r="45" ht="21.75" customHeight="1">
      <c r="A45" s="24"/>
      <c r="B45" s="17" t="s">
        <v>130</v>
      </c>
      <c r="C45" s="18" t="s">
        <v>141</v>
      </c>
      <c r="D45" s="19" t="s">
        <v>142</v>
      </c>
      <c r="E45" s="19" t="s">
        <v>133</v>
      </c>
      <c r="F45" s="17" t="s">
        <v>134</v>
      </c>
      <c r="G45" s="20" t="s">
        <v>24</v>
      </c>
      <c r="H45" s="21">
        <v>99.0</v>
      </c>
      <c r="I45" s="12">
        <v>1.8</v>
      </c>
      <c r="J45" s="12">
        <v>6.0</v>
      </c>
      <c r="K45" s="12">
        <v>0.11</v>
      </c>
      <c r="L45" s="22">
        <f t="shared" si="2"/>
        <v>7.8</v>
      </c>
      <c r="M45" s="14">
        <f t="shared" si="1"/>
        <v>75.17328</v>
      </c>
      <c r="N45" s="14"/>
      <c r="O45" s="24"/>
      <c r="P45" s="24"/>
    </row>
    <row r="46" ht="21.75" customHeight="1">
      <c r="A46" s="25"/>
      <c r="B46" s="17" t="s">
        <v>130</v>
      </c>
      <c r="C46" s="18" t="s">
        <v>143</v>
      </c>
      <c r="D46" s="19" t="s">
        <v>144</v>
      </c>
      <c r="E46" s="19" t="s">
        <v>133</v>
      </c>
      <c r="F46" s="17" t="s">
        <v>134</v>
      </c>
      <c r="G46" s="20" t="s">
        <v>24</v>
      </c>
      <c r="H46" s="21">
        <v>99.0</v>
      </c>
      <c r="I46" s="12">
        <v>1.7</v>
      </c>
      <c r="J46" s="12">
        <v>5.8</v>
      </c>
      <c r="K46" s="12">
        <v>0.09</v>
      </c>
      <c r="L46" s="22">
        <f t="shared" si="2"/>
        <v>7.5</v>
      </c>
      <c r="M46" s="14">
        <f t="shared" si="1"/>
        <v>72.282</v>
      </c>
      <c r="N46" s="14"/>
      <c r="O46" s="25"/>
      <c r="P46" s="25"/>
    </row>
    <row r="47" ht="79.5" customHeight="1">
      <c r="A47" s="7" t="str">
        <f>IMAGE("https://cdn.shopify.com/s/files/1/0947/0174/8548/files/Namnlosdesign-2025-09-17T160715.986.png?v=1758118049",,1)</f>
        <v>#VALUE!</v>
      </c>
      <c r="B47" s="8" t="s">
        <v>145</v>
      </c>
      <c r="C47" s="9" t="s">
        <v>21</v>
      </c>
      <c r="D47" s="10" t="s">
        <v>21</v>
      </c>
      <c r="E47" s="10" t="s">
        <v>146</v>
      </c>
      <c r="F47" s="8" t="s">
        <v>147</v>
      </c>
      <c r="G47" s="7" t="s">
        <v>24</v>
      </c>
      <c r="H47" s="11">
        <v>399.0</v>
      </c>
      <c r="I47" s="12">
        <v>3.0</v>
      </c>
      <c r="J47" s="12">
        <v>12.3</v>
      </c>
      <c r="K47" s="12">
        <v>1.0</v>
      </c>
      <c r="L47" s="26">
        <f t="shared" si="2"/>
        <v>15.3</v>
      </c>
      <c r="M47" s="14">
        <f t="shared" si="1"/>
        <v>147.45528</v>
      </c>
      <c r="N47" s="14"/>
      <c r="O47" s="15" t="s">
        <v>25</v>
      </c>
      <c r="P47" s="15" t="s">
        <v>26</v>
      </c>
    </row>
    <row r="48" ht="79.5" customHeight="1">
      <c r="A48" s="20" t="str">
        <f>IMAGE("https://cdn.shopify.com/s/files/1/0947/0174/8548/files/WhatsAppBild2025-09-23kl.10.30.37_eefc6b56.jpg?v=1758731472",,1)</f>
        <v>#VALUE!</v>
      </c>
      <c r="B48" s="17" t="s">
        <v>148</v>
      </c>
      <c r="C48" s="18" t="s">
        <v>21</v>
      </c>
      <c r="D48" s="19" t="s">
        <v>21</v>
      </c>
      <c r="E48" s="19" t="s">
        <v>149</v>
      </c>
      <c r="F48" s="17" t="s">
        <v>150</v>
      </c>
      <c r="G48" s="20" t="s">
        <v>24</v>
      </c>
      <c r="H48" s="21">
        <v>1499.0</v>
      </c>
      <c r="I48" s="27"/>
      <c r="J48" s="27"/>
      <c r="K48" s="12"/>
      <c r="L48" s="22" t="str">
        <f t="shared" si="2"/>
        <v/>
      </c>
      <c r="M48" s="14" t="str">
        <f t="shared" si="1"/>
        <v/>
      </c>
      <c r="N48" s="28" t="s">
        <v>151</v>
      </c>
      <c r="O48" s="29" t="s">
        <v>25</v>
      </c>
      <c r="P48" s="29" t="s">
        <v>26</v>
      </c>
    </row>
    <row r="49" ht="79.5" customHeight="1">
      <c r="A49" s="7" t="str">
        <f>IMAGE("https://cdn.shopify.com/s/files/1/0947/0174/8548/files/Sefb570aeeb1c4dedbb40290123be240f3_jpg_960x960q75_jpg.avif?v=1758563527",,1)</f>
        <v>#VALUE!</v>
      </c>
      <c r="B49" s="8" t="s">
        <v>152</v>
      </c>
      <c r="C49" s="9" t="s">
        <v>21</v>
      </c>
      <c r="D49" s="10" t="s">
        <v>21</v>
      </c>
      <c r="E49" s="10" t="s">
        <v>153</v>
      </c>
      <c r="F49" s="8" t="s">
        <v>154</v>
      </c>
      <c r="G49" s="7" t="s">
        <v>24</v>
      </c>
      <c r="H49" s="11">
        <v>179.0</v>
      </c>
      <c r="I49" s="12">
        <v>0.7</v>
      </c>
      <c r="J49" s="12">
        <v>6.9</v>
      </c>
      <c r="K49" s="12">
        <v>0.15</v>
      </c>
      <c r="L49" s="26">
        <f t="shared" si="2"/>
        <v>7.6</v>
      </c>
      <c r="M49" s="14">
        <f t="shared" si="1"/>
        <v>73.24576</v>
      </c>
      <c r="N49" s="14"/>
      <c r="O49" s="15" t="s">
        <v>25</v>
      </c>
      <c r="P49" s="15" t="s">
        <v>26</v>
      </c>
    </row>
    <row r="50" ht="79.5" customHeight="1">
      <c r="A50" s="20" t="str">
        <f>IMAGE("https://cdn.shopify.com/s/files/1/0947/0174/8548/files/3-pack-roliga-korvgrillverktyg-i-rostfritt-stal-korvhallare-roliga-grilltillbehor-grillgaffel-for-camping-utomhuspicknick-tradgard-kok.webp?v=1758037039",,1)</f>
        <v>#VALUE!</v>
      </c>
      <c r="B50" s="17" t="s">
        <v>155</v>
      </c>
      <c r="C50" s="18" t="s">
        <v>21</v>
      </c>
      <c r="D50" s="19" t="s">
        <v>21</v>
      </c>
      <c r="E50" s="19" t="s">
        <v>156</v>
      </c>
      <c r="F50" s="17" t="s">
        <v>157</v>
      </c>
      <c r="G50" s="20" t="s">
        <v>24</v>
      </c>
      <c r="H50" s="21">
        <v>199.0</v>
      </c>
      <c r="I50" s="12">
        <v>1.1</v>
      </c>
      <c r="J50" s="12">
        <v>5.4</v>
      </c>
      <c r="K50" s="12">
        <v>0.06</v>
      </c>
      <c r="L50" s="22">
        <f t="shared" si="2"/>
        <v>6.5</v>
      </c>
      <c r="M50" s="14">
        <f t="shared" si="1"/>
        <v>62.6444</v>
      </c>
      <c r="N50" s="28" t="s">
        <v>158</v>
      </c>
      <c r="O50" s="29" t="s">
        <v>25</v>
      </c>
      <c r="P50" s="29" t="s">
        <v>26</v>
      </c>
    </row>
    <row r="51" ht="79.5" customHeight="1">
      <c r="A51" s="7" t="str">
        <f>IMAGE("https://cdn.shopify.com/s/files/1/0947/0174/8548/files/12deef1e-4f95-4f42-a976-1fd736598cf3.jpg?v=1758127417",,1)</f>
        <v>#VALUE!</v>
      </c>
      <c r="B51" s="8" t="s">
        <v>159</v>
      </c>
      <c r="C51" s="9" t="s">
        <v>21</v>
      </c>
      <c r="D51" s="10" t="s">
        <v>21</v>
      </c>
      <c r="E51" s="10" t="s">
        <v>160</v>
      </c>
      <c r="F51" s="8" t="s">
        <v>161</v>
      </c>
      <c r="G51" s="7" t="s">
        <v>24</v>
      </c>
      <c r="H51" s="11">
        <v>99.0</v>
      </c>
      <c r="I51" s="12">
        <v>0.8</v>
      </c>
      <c r="J51" s="12">
        <v>5.3</v>
      </c>
      <c r="K51" s="12">
        <v>0.03</v>
      </c>
      <c r="L51" s="26">
        <f t="shared" si="2"/>
        <v>6.1</v>
      </c>
      <c r="M51" s="14">
        <f t="shared" si="1"/>
        <v>58.78936</v>
      </c>
      <c r="N51" s="28" t="s">
        <v>162</v>
      </c>
      <c r="O51" s="15" t="s">
        <v>25</v>
      </c>
      <c r="P51" s="15" t="s">
        <v>26</v>
      </c>
    </row>
    <row r="52" ht="79.5" customHeight="1">
      <c r="A52" s="20" t="str">
        <f>IMAGE("https://cdn.shopify.com/s/files/1/0947/0174/8548/files/WhatsAppImage2026-04-13at10.08.29_1.jpg?v=1777031902",,1)</f>
        <v>#VALUE!</v>
      </c>
      <c r="B52" s="17" t="s">
        <v>163</v>
      </c>
      <c r="C52" s="18" t="s">
        <v>21</v>
      </c>
      <c r="D52" s="19" t="s">
        <v>21</v>
      </c>
      <c r="E52" s="19" t="s">
        <v>164</v>
      </c>
      <c r="F52" s="17" t="s">
        <v>165</v>
      </c>
      <c r="G52" s="20" t="s">
        <v>42</v>
      </c>
      <c r="H52" s="21">
        <v>1600.0</v>
      </c>
      <c r="I52" s="12">
        <v>11.0</v>
      </c>
      <c r="J52" s="12">
        <v>12.97</v>
      </c>
      <c r="K52" s="12">
        <v>0.8</v>
      </c>
      <c r="L52" s="22">
        <f t="shared" si="2"/>
        <v>23.97</v>
      </c>
      <c r="M52" s="14">
        <f t="shared" si="1"/>
        <v>231.013272</v>
      </c>
      <c r="N52" s="14"/>
      <c r="O52" s="29" t="s">
        <v>25</v>
      </c>
      <c r="P52" s="29" t="s">
        <v>26</v>
      </c>
    </row>
    <row r="53" ht="79.5" customHeight="1">
      <c r="A53" s="7" t="str">
        <f>IMAGE("https://cdn.shopify.com/s/files/1/0947/0174/8548/files/Namnlosdesign-2026-07-06T113034.467.png?v=1783330270",,1)</f>
        <v>#VALUE!</v>
      </c>
      <c r="B53" s="8" t="s">
        <v>166</v>
      </c>
      <c r="C53" s="9" t="s">
        <v>21</v>
      </c>
      <c r="D53" s="10" t="s">
        <v>21</v>
      </c>
      <c r="E53" s="10" t="s">
        <v>167</v>
      </c>
      <c r="F53" s="8" t="s">
        <v>168</v>
      </c>
      <c r="G53" s="7" t="s">
        <v>24</v>
      </c>
      <c r="H53" s="11">
        <v>999.0</v>
      </c>
      <c r="I53" s="12">
        <v>11.0</v>
      </c>
      <c r="J53" s="12">
        <v>12.97</v>
      </c>
      <c r="K53" s="12">
        <v>0.8</v>
      </c>
      <c r="L53" s="26">
        <f t="shared" si="2"/>
        <v>23.97</v>
      </c>
      <c r="M53" s="14">
        <f t="shared" si="1"/>
        <v>231.013272</v>
      </c>
      <c r="N53" s="14"/>
      <c r="O53" s="15" t="s">
        <v>25</v>
      </c>
      <c r="P53" s="15" t="s">
        <v>26</v>
      </c>
    </row>
    <row r="54" ht="79.5" customHeight="1">
      <c r="A54" s="20" t="str">
        <f>IMAGE("https://cdn.shopify.com/s/files/1/0947/0174/8548/files/CharBreaker_Accessories_3_4.jpg?v=1779438702",,1)</f>
        <v>#VALUE!</v>
      </c>
      <c r="B54" s="17" t="s">
        <v>169</v>
      </c>
      <c r="C54" s="18" t="s">
        <v>21</v>
      </c>
      <c r="D54" s="19" t="s">
        <v>21</v>
      </c>
      <c r="E54" s="19" t="s">
        <v>170</v>
      </c>
      <c r="F54" s="17" t="s">
        <v>171</v>
      </c>
      <c r="G54" s="20" t="s">
        <v>24</v>
      </c>
      <c r="H54" s="21">
        <v>200.0</v>
      </c>
      <c r="I54" s="27"/>
      <c r="J54" s="27"/>
      <c r="K54" s="27"/>
      <c r="L54" s="22" t="str">
        <f t="shared" si="2"/>
        <v/>
      </c>
      <c r="M54" s="14" t="str">
        <f t="shared" si="1"/>
        <v/>
      </c>
      <c r="N54" s="28" t="s">
        <v>43</v>
      </c>
      <c r="O54" s="29" t="s">
        <v>25</v>
      </c>
      <c r="P54" s="29" t="s">
        <v>26</v>
      </c>
    </row>
    <row r="55" ht="39.75" customHeight="1">
      <c r="A55" s="30" t="str">
        <f>IMAGE("https://cdn.shopify.com/s/files/1/0947/0174/8548/files/Stor.png?v=1758044306",,1)</f>
        <v>#VALUE!</v>
      </c>
      <c r="B55" s="8" t="s">
        <v>172</v>
      </c>
      <c r="C55" s="9" t="s">
        <v>173</v>
      </c>
      <c r="D55" s="10" t="s">
        <v>21</v>
      </c>
      <c r="E55" s="10" t="s">
        <v>174</v>
      </c>
      <c r="F55" s="8" t="s">
        <v>175</v>
      </c>
      <c r="G55" s="7" t="s">
        <v>24</v>
      </c>
      <c r="H55" s="11">
        <v>599.0</v>
      </c>
      <c r="I55" s="27"/>
      <c r="J55" s="27"/>
      <c r="K55" s="27"/>
      <c r="L55" s="26" t="str">
        <f t="shared" si="2"/>
        <v/>
      </c>
      <c r="M55" s="14" t="str">
        <f t="shared" si="1"/>
        <v/>
      </c>
      <c r="N55" s="28" t="s">
        <v>176</v>
      </c>
      <c r="O55" s="31" t="s">
        <v>25</v>
      </c>
      <c r="P55" s="31" t="s">
        <v>26</v>
      </c>
    </row>
    <row r="56" ht="39.75" customHeight="1">
      <c r="A56" s="25"/>
      <c r="B56" s="8" t="s">
        <v>172</v>
      </c>
      <c r="C56" s="9" t="s">
        <v>177</v>
      </c>
      <c r="D56" s="10" t="s">
        <v>21</v>
      </c>
      <c r="E56" s="10" t="s">
        <v>174</v>
      </c>
      <c r="F56" s="8" t="s">
        <v>175</v>
      </c>
      <c r="G56" s="7" t="s">
        <v>24</v>
      </c>
      <c r="H56" s="11">
        <v>499.0</v>
      </c>
      <c r="I56" s="27"/>
      <c r="J56" s="27"/>
      <c r="K56" s="27"/>
      <c r="L56" s="26" t="str">
        <f t="shared" si="2"/>
        <v/>
      </c>
      <c r="M56" s="14" t="str">
        <f t="shared" si="1"/>
        <v/>
      </c>
      <c r="N56" s="28" t="s">
        <v>176</v>
      </c>
      <c r="O56" s="25"/>
      <c r="P56" s="25"/>
    </row>
    <row r="57" ht="79.5" customHeight="1">
      <c r="A57" s="20" t="str">
        <f>IMAGE("https://cdn.shopify.com/s/files/1/0947/0174/8548/files/2469514bf9b748d7df2c5cefc6f83c271749711533850.webp?v=1758042819",,1)</f>
        <v>#VALUE!</v>
      </c>
      <c r="B57" s="17" t="s">
        <v>178</v>
      </c>
      <c r="C57" s="18" t="s">
        <v>21</v>
      </c>
      <c r="D57" s="19" t="s">
        <v>21</v>
      </c>
      <c r="E57" s="19" t="s">
        <v>179</v>
      </c>
      <c r="F57" s="17" t="s">
        <v>180</v>
      </c>
      <c r="G57" s="20" t="s">
        <v>24</v>
      </c>
      <c r="H57" s="21">
        <v>149.0</v>
      </c>
      <c r="I57" s="12">
        <v>1.3</v>
      </c>
      <c r="J57" s="12">
        <v>5.6</v>
      </c>
      <c r="K57" s="12">
        <v>0.05</v>
      </c>
      <c r="L57" s="22">
        <f t="shared" si="2"/>
        <v>6.9</v>
      </c>
      <c r="M57" s="14">
        <f t="shared" si="1"/>
        <v>66.49944</v>
      </c>
      <c r="N57" s="28" t="s">
        <v>181</v>
      </c>
      <c r="O57" s="33" t="s">
        <v>25</v>
      </c>
      <c r="P57" s="29" t="s">
        <v>26</v>
      </c>
    </row>
    <row r="58" ht="79.5" customHeight="1">
      <c r="A58" s="7" t="str">
        <f>IMAGE("https://cdn.shopify.com/s/files/1/0947/0174/8548/files/WhatsAppBild2025-09-23kl.10.56.25_61a4d106.jpg?v=1758645049",,1)</f>
        <v>#VALUE!</v>
      </c>
      <c r="B58" s="8" t="s">
        <v>182</v>
      </c>
      <c r="C58" s="9" t="s">
        <v>21</v>
      </c>
      <c r="D58" s="10" t="s">
        <v>21</v>
      </c>
      <c r="E58" s="10" t="s">
        <v>183</v>
      </c>
      <c r="F58" s="8" t="s">
        <v>184</v>
      </c>
      <c r="G58" s="7" t="s">
        <v>24</v>
      </c>
      <c r="H58" s="11">
        <v>999.0</v>
      </c>
      <c r="I58" s="12">
        <v>16.6</v>
      </c>
      <c r="J58" s="12">
        <v>14.5</v>
      </c>
      <c r="K58" s="12">
        <v>0.8</v>
      </c>
      <c r="L58" s="26">
        <f t="shared" si="2"/>
        <v>31.1</v>
      </c>
      <c r="M58" s="14">
        <f t="shared" si="1"/>
        <v>299.72936</v>
      </c>
      <c r="N58" s="14"/>
      <c r="O58" s="15" t="s">
        <v>25</v>
      </c>
      <c r="P58" s="15" t="s">
        <v>26</v>
      </c>
    </row>
    <row r="59" ht="79.5" customHeight="1">
      <c r="A59" s="20" t="str">
        <f>IMAGE("https://cdn.shopify.com/s/files/1/0947/0174/8548/files/WhatsAppBild2025-09-24kl.11.00.29_72c83fe4.jpg?v=1758732238",,1)</f>
        <v>#VALUE!</v>
      </c>
      <c r="B59" s="17" t="s">
        <v>185</v>
      </c>
      <c r="C59" s="18" t="s">
        <v>21</v>
      </c>
      <c r="D59" s="19" t="s">
        <v>21</v>
      </c>
      <c r="E59" s="19" t="s">
        <v>186</v>
      </c>
      <c r="F59" s="17" t="s">
        <v>187</v>
      </c>
      <c r="G59" s="20" t="s">
        <v>24</v>
      </c>
      <c r="H59" s="21">
        <v>1399.0</v>
      </c>
      <c r="I59" s="27"/>
      <c r="J59" s="27"/>
      <c r="K59" s="27"/>
      <c r="L59" s="22" t="str">
        <f t="shared" si="2"/>
        <v/>
      </c>
      <c r="M59" s="14" t="str">
        <f t="shared" si="1"/>
        <v/>
      </c>
      <c r="N59" s="28" t="s">
        <v>158</v>
      </c>
      <c r="O59" s="29" t="s">
        <v>25</v>
      </c>
      <c r="P59" s="29" t="s">
        <v>26</v>
      </c>
    </row>
    <row r="60" ht="79.5" customHeight="1">
      <c r="A60" s="7" t="str">
        <f>IMAGE("https://cdn.shopify.com/s/files/1/0947/0174/8548/files/S1ab856b82e9b4061b7d344171f2cf5c2x_jpg_960x960q75_jpg.avif?v=1758731860",,1)</f>
        <v>#VALUE!</v>
      </c>
      <c r="B60" s="8" t="s">
        <v>188</v>
      </c>
      <c r="C60" s="9" t="s">
        <v>21</v>
      </c>
      <c r="D60" s="10" t="s">
        <v>21</v>
      </c>
      <c r="E60" s="10" t="s">
        <v>189</v>
      </c>
      <c r="F60" s="8" t="s">
        <v>190</v>
      </c>
      <c r="G60" s="7" t="s">
        <v>24</v>
      </c>
      <c r="H60" s="11">
        <v>699.0</v>
      </c>
      <c r="I60" s="12">
        <v>7.5</v>
      </c>
      <c r="J60" s="12">
        <v>12.3</v>
      </c>
      <c r="K60" s="12">
        <v>1.05</v>
      </c>
      <c r="L60" s="26">
        <f t="shared" si="2"/>
        <v>19.8</v>
      </c>
      <c r="M60" s="14">
        <f t="shared" si="1"/>
        <v>190.82448</v>
      </c>
      <c r="N60" s="28" t="s">
        <v>191</v>
      </c>
      <c r="O60" s="15" t="s">
        <v>25</v>
      </c>
      <c r="P60" s="15" t="s">
        <v>26</v>
      </c>
    </row>
    <row r="61" ht="79.5" customHeight="1">
      <c r="A61" s="20" t="str">
        <f>IMAGE("https://cdn.shopify.com/s/files/1/0947/0174/8548/files/CharBreaker_Accessories_2.webp?v=1776973240",,1)</f>
        <v>#VALUE!</v>
      </c>
      <c r="B61" s="17" t="s">
        <v>192</v>
      </c>
      <c r="C61" s="18" t="s">
        <v>21</v>
      </c>
      <c r="D61" s="19" t="s">
        <v>21</v>
      </c>
      <c r="E61" s="19" t="s">
        <v>193</v>
      </c>
      <c r="F61" s="17" t="s">
        <v>194</v>
      </c>
      <c r="G61" s="20" t="s">
        <v>42</v>
      </c>
      <c r="H61" s="21">
        <v>80.0</v>
      </c>
      <c r="I61" s="27"/>
      <c r="J61" s="27"/>
      <c r="K61" s="27"/>
      <c r="L61" s="22" t="str">
        <f t="shared" si="2"/>
        <v/>
      </c>
      <c r="M61" s="14" t="str">
        <f t="shared" si="1"/>
        <v/>
      </c>
      <c r="N61" s="28" t="s">
        <v>195</v>
      </c>
      <c r="O61" s="29" t="s">
        <v>25</v>
      </c>
      <c r="P61" s="29" t="s">
        <v>26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5:$P$61"/>
  <mergeCells count="21">
    <mergeCell ref="O23:O26"/>
    <mergeCell ref="P23:P26"/>
    <mergeCell ref="O20:O21"/>
    <mergeCell ref="O31:O32"/>
    <mergeCell ref="O35:O36"/>
    <mergeCell ref="P35:P36"/>
    <mergeCell ref="O41:O46"/>
    <mergeCell ref="P41:P46"/>
    <mergeCell ref="O55:O56"/>
    <mergeCell ref="P55:P56"/>
    <mergeCell ref="A31:A32"/>
    <mergeCell ref="A35:A36"/>
    <mergeCell ref="A41:A46"/>
    <mergeCell ref="A55:A56"/>
    <mergeCell ref="A7:A9"/>
    <mergeCell ref="O7:O9"/>
    <mergeCell ref="P7:P9"/>
    <mergeCell ref="A20:A21"/>
    <mergeCell ref="P20:P21"/>
    <mergeCell ref="A23:A26"/>
    <mergeCell ref="P31:P32"/>
  </mergeCells>
  <hyperlinks>
    <hyperlink r:id="rId1" ref="O6"/>
    <hyperlink r:id="rId2" ref="P6"/>
    <hyperlink r:id="rId3" ref="O7"/>
    <hyperlink r:id="rId4" ref="P7"/>
    <hyperlink r:id="rId5" ref="O10"/>
    <hyperlink r:id="rId6" ref="P10"/>
    <hyperlink r:id="rId7" ref="O11"/>
    <hyperlink r:id="rId8" ref="P11"/>
    <hyperlink r:id="rId9" ref="O12"/>
    <hyperlink r:id="rId10" ref="P12"/>
    <hyperlink r:id="rId11" ref="O13"/>
    <hyperlink r:id="rId12" ref="P13"/>
    <hyperlink r:id="rId13" ref="O14"/>
    <hyperlink r:id="rId14" ref="P14"/>
    <hyperlink r:id="rId15" ref="O15"/>
    <hyperlink r:id="rId16" ref="P15"/>
    <hyperlink r:id="rId17" ref="O16"/>
    <hyperlink r:id="rId18" ref="P16"/>
    <hyperlink r:id="rId19" ref="O17"/>
    <hyperlink r:id="rId20" ref="P17"/>
    <hyperlink r:id="rId21" ref="O18"/>
    <hyperlink r:id="rId22" ref="P18"/>
    <hyperlink r:id="rId23" ref="O19"/>
    <hyperlink r:id="rId24" ref="P19"/>
    <hyperlink r:id="rId25" ref="O20"/>
    <hyperlink r:id="rId26" ref="P20"/>
    <hyperlink r:id="rId27" ref="O22"/>
    <hyperlink r:id="rId28" ref="P22"/>
    <hyperlink r:id="rId29" ref="O23"/>
    <hyperlink r:id="rId30" ref="P23"/>
    <hyperlink r:id="rId31" ref="O27"/>
    <hyperlink r:id="rId32" ref="P27"/>
    <hyperlink r:id="rId33" ref="O28"/>
    <hyperlink r:id="rId34" ref="P28"/>
    <hyperlink r:id="rId35" ref="O29"/>
    <hyperlink r:id="rId36" ref="P29"/>
    <hyperlink r:id="rId37" ref="O30"/>
    <hyperlink r:id="rId38" ref="P30"/>
    <hyperlink r:id="rId39" ref="O31"/>
    <hyperlink r:id="rId40" ref="P31"/>
    <hyperlink r:id="rId41" ref="O33"/>
    <hyperlink r:id="rId42" ref="P33"/>
    <hyperlink r:id="rId43" ref="O34"/>
    <hyperlink r:id="rId44" ref="P34"/>
    <hyperlink r:id="rId45" ref="O35"/>
    <hyperlink r:id="rId46" ref="P35"/>
    <hyperlink r:id="rId47" ref="O37"/>
    <hyperlink r:id="rId48" ref="P37"/>
    <hyperlink r:id="rId49" ref="O38"/>
    <hyperlink r:id="rId50" ref="P38"/>
    <hyperlink r:id="rId51" ref="O39"/>
    <hyperlink r:id="rId52" ref="P39"/>
    <hyperlink r:id="rId53" ref="O40"/>
    <hyperlink r:id="rId54" ref="P40"/>
    <hyperlink r:id="rId55" ref="O41"/>
    <hyperlink r:id="rId56" ref="P41"/>
    <hyperlink r:id="rId57" ref="O47"/>
    <hyperlink r:id="rId58" ref="P47"/>
    <hyperlink r:id="rId59" ref="O48"/>
    <hyperlink r:id="rId60" ref="P48"/>
    <hyperlink r:id="rId61" ref="O49"/>
    <hyperlink r:id="rId62" ref="P49"/>
    <hyperlink r:id="rId63" ref="O50"/>
    <hyperlink r:id="rId64" ref="P50"/>
    <hyperlink r:id="rId65" ref="O51"/>
    <hyperlink r:id="rId66" ref="P51"/>
    <hyperlink r:id="rId67" ref="O52"/>
    <hyperlink r:id="rId68" ref="P52"/>
    <hyperlink r:id="rId69" ref="O53"/>
    <hyperlink r:id="rId70" ref="P53"/>
    <hyperlink r:id="rId71" ref="O54"/>
    <hyperlink r:id="rId72" ref="P54"/>
    <hyperlink r:id="rId73" ref="O55"/>
    <hyperlink r:id="rId74" ref="P55"/>
    <hyperlink r:id="rId75" ref="O57"/>
    <hyperlink r:id="rId76" ref="P57"/>
    <hyperlink r:id="rId77" ref="O58"/>
    <hyperlink r:id="rId78" ref="P58"/>
    <hyperlink r:id="rId79" ref="O59"/>
    <hyperlink r:id="rId80" ref="P59"/>
    <hyperlink r:id="rId81" ref="O60"/>
    <hyperlink r:id="rId82" ref="P60"/>
    <hyperlink r:id="rId83" ref="O61"/>
    <hyperlink r:id="rId84" ref="P61"/>
  </hyperlinks>
  <printOptions/>
  <pageMargins bottom="1.0" footer="0.0" header="0.0" left="0.75" right="0.75" top="1.0"/>
  <pageSetup orientation="landscape"/>
  <drawing r:id="rId85"/>
</worksheet>
</file>